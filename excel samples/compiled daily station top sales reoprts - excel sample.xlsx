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OME\Desktop\kofi\data work\GitHub\data entry\"/>
    </mc:Choice>
  </mc:AlternateContent>
  <bookViews>
    <workbookView xWindow="0" yWindow="0" windowWidth="24000" windowHeight="11400"/>
  </bookViews>
  <sheets>
    <sheet name="sales" sheetId="5" r:id="rId1"/>
  </sheets>
  <definedNames>
    <definedName name="_xlcn.WorksheetConnection_datasampleEXCELcourse.xlsxtableMon1" hidden="1">#REF!</definedName>
    <definedName name="dailyvar">#REF!</definedName>
    <definedName name="_xlnm.Print_Area" localSheetId="0">sales!$A$229:$L$331</definedName>
    <definedName name="RSS">#REF!</definedName>
    <definedName name="sparklines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4" i="5" l="1"/>
  <c r="Q334" i="5"/>
  <c r="P334" i="5"/>
  <c r="I334" i="5"/>
  <c r="C334" i="5"/>
  <c r="R333" i="5"/>
  <c r="Q333" i="5"/>
  <c r="P333" i="5"/>
  <c r="R332" i="5"/>
  <c r="Q332" i="5"/>
  <c r="P332" i="5"/>
  <c r="S331" i="5"/>
  <c r="R331" i="5"/>
  <c r="Q331" i="5"/>
  <c r="P331" i="5"/>
  <c r="L331" i="5"/>
  <c r="K331" i="5"/>
  <c r="J331" i="5"/>
  <c r="I331" i="5"/>
  <c r="F331" i="5"/>
  <c r="E331" i="5"/>
  <c r="D331" i="5"/>
  <c r="C331" i="5"/>
  <c r="U330" i="5"/>
  <c r="T330" i="5"/>
  <c r="N330" i="5"/>
  <c r="M330" i="5"/>
  <c r="L330" i="5"/>
  <c r="F330" i="5"/>
  <c r="A330" i="5"/>
  <c r="U329" i="5"/>
  <c r="T329" i="5"/>
  <c r="N329" i="5"/>
  <c r="M329" i="5"/>
  <c r="L329" i="5"/>
  <c r="F329" i="5"/>
  <c r="A329" i="5"/>
  <c r="U328" i="5"/>
  <c r="T328" i="5"/>
  <c r="N328" i="5"/>
  <c r="M328" i="5"/>
  <c r="L328" i="5"/>
  <c r="F328" i="5"/>
  <c r="A328" i="5"/>
  <c r="U327" i="5"/>
  <c r="T327" i="5"/>
  <c r="N327" i="5"/>
  <c r="M327" i="5"/>
  <c r="L327" i="5"/>
  <c r="F327" i="5"/>
  <c r="A327" i="5"/>
  <c r="U326" i="5"/>
  <c r="T326" i="5"/>
  <c r="N326" i="5"/>
  <c r="M326" i="5"/>
  <c r="L326" i="5"/>
  <c r="F326" i="5"/>
  <c r="A326" i="5"/>
  <c r="U325" i="5"/>
  <c r="T325" i="5"/>
  <c r="N325" i="5"/>
  <c r="M325" i="5"/>
  <c r="L325" i="5"/>
  <c r="F325" i="5"/>
  <c r="A325" i="5"/>
  <c r="U324" i="5"/>
  <c r="T324" i="5"/>
  <c r="N324" i="5"/>
  <c r="M324" i="5"/>
  <c r="L324" i="5"/>
  <c r="F324" i="5"/>
  <c r="A324" i="5"/>
  <c r="U323" i="5"/>
  <c r="T323" i="5"/>
  <c r="N323" i="5"/>
  <c r="M323" i="5"/>
  <c r="L323" i="5"/>
  <c r="F323" i="5"/>
  <c r="A323" i="5"/>
  <c r="U322" i="5"/>
  <c r="T322" i="5"/>
  <c r="N322" i="5"/>
  <c r="M322" i="5"/>
  <c r="L322" i="5"/>
  <c r="F322" i="5"/>
  <c r="A322" i="5"/>
  <c r="U321" i="5"/>
  <c r="T321" i="5"/>
  <c r="N321" i="5"/>
  <c r="M321" i="5"/>
  <c r="L321" i="5"/>
  <c r="F321" i="5"/>
  <c r="A321" i="5"/>
  <c r="U320" i="5"/>
  <c r="T320" i="5"/>
  <c r="N320" i="5"/>
  <c r="M320" i="5"/>
  <c r="L320" i="5"/>
  <c r="F320" i="5"/>
  <c r="A320" i="5"/>
  <c r="U319" i="5"/>
  <c r="T319" i="5"/>
  <c r="N319" i="5"/>
  <c r="M319" i="5"/>
  <c r="L319" i="5"/>
  <c r="F319" i="5"/>
  <c r="A319" i="5"/>
  <c r="U318" i="5"/>
  <c r="T318" i="5"/>
  <c r="N318" i="5"/>
  <c r="M318" i="5"/>
  <c r="L318" i="5"/>
  <c r="F318" i="5"/>
  <c r="A318" i="5"/>
  <c r="U317" i="5"/>
  <c r="T317" i="5"/>
  <c r="N317" i="5"/>
  <c r="M317" i="5"/>
  <c r="L317" i="5"/>
  <c r="F317" i="5"/>
  <c r="A317" i="5"/>
  <c r="U316" i="5"/>
  <c r="T316" i="5"/>
  <c r="N316" i="5"/>
  <c r="M316" i="5"/>
  <c r="L316" i="5"/>
  <c r="F316" i="5"/>
  <c r="A316" i="5"/>
  <c r="U315" i="5"/>
  <c r="T315" i="5"/>
  <c r="N315" i="5"/>
  <c r="M315" i="5"/>
  <c r="L315" i="5"/>
  <c r="F315" i="5"/>
  <c r="A315" i="5"/>
  <c r="U314" i="5"/>
  <c r="T314" i="5"/>
  <c r="N314" i="5"/>
  <c r="M314" i="5"/>
  <c r="L314" i="5"/>
  <c r="F314" i="5"/>
  <c r="A314" i="5"/>
  <c r="U313" i="5"/>
  <c r="T313" i="5"/>
  <c r="N313" i="5"/>
  <c r="M313" i="5"/>
  <c r="L313" i="5"/>
  <c r="F313" i="5"/>
  <c r="A313" i="5"/>
  <c r="U312" i="5"/>
  <c r="T312" i="5"/>
  <c r="N312" i="5"/>
  <c r="M312" i="5"/>
  <c r="L312" i="5"/>
  <c r="F312" i="5"/>
  <c r="A312" i="5"/>
  <c r="U311" i="5"/>
  <c r="T311" i="5"/>
  <c r="N311" i="5"/>
  <c r="M311" i="5"/>
  <c r="L311" i="5"/>
  <c r="F311" i="5"/>
  <c r="A311" i="5"/>
  <c r="U310" i="5"/>
  <c r="T310" i="5"/>
  <c r="N310" i="5"/>
  <c r="M310" i="5"/>
  <c r="L310" i="5"/>
  <c r="F310" i="5"/>
  <c r="A310" i="5"/>
  <c r="U309" i="5"/>
  <c r="T309" i="5"/>
  <c r="N309" i="5"/>
  <c r="M309" i="5"/>
  <c r="L309" i="5"/>
  <c r="F309" i="5"/>
  <c r="A309" i="5"/>
  <c r="U308" i="5"/>
  <c r="T308" i="5"/>
  <c r="N308" i="5"/>
  <c r="M308" i="5"/>
  <c r="L308" i="5"/>
  <c r="F308" i="5"/>
  <c r="A308" i="5"/>
  <c r="U307" i="5"/>
  <c r="T307" i="5"/>
  <c r="N307" i="5"/>
  <c r="M307" i="5"/>
  <c r="L307" i="5"/>
  <c r="F307" i="5"/>
  <c r="A307" i="5"/>
  <c r="U306" i="5"/>
  <c r="T306" i="5"/>
  <c r="N306" i="5"/>
  <c r="M306" i="5"/>
  <c r="L306" i="5"/>
  <c r="F306" i="5"/>
  <c r="A306" i="5"/>
  <c r="U305" i="5"/>
  <c r="T305" i="5"/>
  <c r="N305" i="5"/>
  <c r="M305" i="5"/>
  <c r="L305" i="5"/>
  <c r="F305" i="5"/>
  <c r="A305" i="5"/>
  <c r="U304" i="5"/>
  <c r="T304" i="5"/>
  <c r="N304" i="5"/>
  <c r="M304" i="5"/>
  <c r="L304" i="5"/>
  <c r="F304" i="5"/>
  <c r="A304" i="5"/>
  <c r="U303" i="5"/>
  <c r="T303" i="5"/>
  <c r="N303" i="5"/>
  <c r="M303" i="5"/>
  <c r="L303" i="5"/>
  <c r="F303" i="5"/>
  <c r="A303" i="5"/>
  <c r="U302" i="5"/>
  <c r="T302" i="5"/>
  <c r="N302" i="5"/>
  <c r="M302" i="5"/>
  <c r="L302" i="5"/>
  <c r="F302" i="5"/>
  <c r="A302" i="5"/>
  <c r="U301" i="5"/>
  <c r="T301" i="5"/>
  <c r="N301" i="5"/>
  <c r="M301" i="5"/>
  <c r="L301" i="5"/>
  <c r="F301" i="5"/>
  <c r="A301" i="5"/>
  <c r="U300" i="5"/>
  <c r="T300" i="5"/>
  <c r="N300" i="5"/>
  <c r="M300" i="5"/>
  <c r="L300" i="5"/>
  <c r="F300" i="5"/>
  <c r="A300" i="5"/>
  <c r="U299" i="5"/>
  <c r="T299" i="5"/>
  <c r="N299" i="5"/>
  <c r="M299" i="5"/>
  <c r="L299" i="5"/>
  <c r="F299" i="5"/>
  <c r="A299" i="5"/>
  <c r="U298" i="5"/>
  <c r="T298" i="5"/>
  <c r="N298" i="5"/>
  <c r="M298" i="5"/>
  <c r="L298" i="5"/>
  <c r="F298" i="5"/>
  <c r="A298" i="5"/>
  <c r="U297" i="5"/>
  <c r="T297" i="5"/>
  <c r="N297" i="5"/>
  <c r="M297" i="5"/>
  <c r="L297" i="5"/>
  <c r="F297" i="5"/>
  <c r="A297" i="5"/>
  <c r="U296" i="5"/>
  <c r="T296" i="5"/>
  <c r="N296" i="5"/>
  <c r="M296" i="5"/>
  <c r="L296" i="5"/>
  <c r="F296" i="5"/>
  <c r="A296" i="5"/>
  <c r="U295" i="5"/>
  <c r="T295" i="5"/>
  <c r="N295" i="5"/>
  <c r="M295" i="5"/>
  <c r="L295" i="5"/>
  <c r="F295" i="5"/>
  <c r="A295" i="5"/>
  <c r="U294" i="5"/>
  <c r="T294" i="5"/>
  <c r="N294" i="5"/>
  <c r="M294" i="5"/>
  <c r="L294" i="5"/>
  <c r="F294" i="5"/>
  <c r="A294" i="5"/>
  <c r="U293" i="5"/>
  <c r="T293" i="5"/>
  <c r="N293" i="5"/>
  <c r="M293" i="5"/>
  <c r="L293" i="5"/>
  <c r="F293" i="5"/>
  <c r="A293" i="5"/>
  <c r="U292" i="5"/>
  <c r="T292" i="5"/>
  <c r="N292" i="5"/>
  <c r="M292" i="5"/>
  <c r="L292" i="5"/>
  <c r="F292" i="5"/>
  <c r="A292" i="5"/>
  <c r="U291" i="5"/>
  <c r="T291" i="5"/>
  <c r="N291" i="5"/>
  <c r="M291" i="5"/>
  <c r="L291" i="5"/>
  <c r="F291" i="5"/>
  <c r="A291" i="5"/>
  <c r="U290" i="5"/>
  <c r="T290" i="5"/>
  <c r="N290" i="5"/>
  <c r="M290" i="5"/>
  <c r="L290" i="5"/>
  <c r="F290" i="5"/>
  <c r="A290" i="5"/>
  <c r="U289" i="5"/>
  <c r="T289" i="5"/>
  <c r="N289" i="5"/>
  <c r="M289" i="5"/>
  <c r="L289" i="5"/>
  <c r="F289" i="5"/>
  <c r="A289" i="5"/>
  <c r="U288" i="5"/>
  <c r="T288" i="5"/>
  <c r="N288" i="5"/>
  <c r="M288" i="5"/>
  <c r="L288" i="5"/>
  <c r="F288" i="5"/>
  <c r="A288" i="5"/>
  <c r="U287" i="5"/>
  <c r="T287" i="5"/>
  <c r="N287" i="5"/>
  <c r="M287" i="5"/>
  <c r="L287" i="5"/>
  <c r="F287" i="5"/>
  <c r="A287" i="5"/>
  <c r="U286" i="5"/>
  <c r="T286" i="5"/>
  <c r="N286" i="5"/>
  <c r="M286" i="5"/>
  <c r="L286" i="5"/>
  <c r="F286" i="5"/>
  <c r="A286" i="5"/>
  <c r="U285" i="5"/>
  <c r="T285" i="5"/>
  <c r="N285" i="5"/>
  <c r="M285" i="5"/>
  <c r="L285" i="5"/>
  <c r="F285" i="5"/>
  <c r="A285" i="5"/>
  <c r="U284" i="5"/>
  <c r="T284" i="5"/>
  <c r="N284" i="5"/>
  <c r="M284" i="5"/>
  <c r="L284" i="5"/>
  <c r="F284" i="5"/>
  <c r="A284" i="5"/>
  <c r="U283" i="5"/>
  <c r="T283" i="5"/>
  <c r="N283" i="5"/>
  <c r="M283" i="5"/>
  <c r="L283" i="5"/>
  <c r="F283" i="5"/>
  <c r="A283" i="5"/>
  <c r="U282" i="5"/>
  <c r="T282" i="5"/>
  <c r="N282" i="5"/>
  <c r="M282" i="5"/>
  <c r="L282" i="5"/>
  <c r="F282" i="5"/>
  <c r="A282" i="5"/>
  <c r="U281" i="5"/>
  <c r="T281" i="5"/>
  <c r="N281" i="5"/>
  <c r="M281" i="5"/>
  <c r="L281" i="5"/>
  <c r="F281" i="5"/>
  <c r="A281" i="5"/>
  <c r="U280" i="5"/>
  <c r="T280" i="5"/>
  <c r="N280" i="5"/>
  <c r="M280" i="5"/>
  <c r="L280" i="5"/>
  <c r="F280" i="5"/>
  <c r="A280" i="5"/>
  <c r="U279" i="5"/>
  <c r="T279" i="5"/>
  <c r="N279" i="5"/>
  <c r="M279" i="5"/>
  <c r="L279" i="5"/>
  <c r="F279" i="5"/>
  <c r="A279" i="5"/>
  <c r="U278" i="5"/>
  <c r="T278" i="5"/>
  <c r="N278" i="5"/>
  <c r="M278" i="5"/>
  <c r="L278" i="5"/>
  <c r="F278" i="5"/>
  <c r="A278" i="5"/>
  <c r="U277" i="5"/>
  <c r="T277" i="5"/>
  <c r="N277" i="5"/>
  <c r="M277" i="5"/>
  <c r="L277" i="5"/>
  <c r="F277" i="5"/>
  <c r="A277" i="5"/>
  <c r="U276" i="5"/>
  <c r="T276" i="5"/>
  <c r="N276" i="5"/>
  <c r="M276" i="5"/>
  <c r="L276" i="5"/>
  <c r="F276" i="5"/>
  <c r="A276" i="5"/>
  <c r="U275" i="5"/>
  <c r="T275" i="5"/>
  <c r="N275" i="5"/>
  <c r="M275" i="5"/>
  <c r="L275" i="5"/>
  <c r="F275" i="5"/>
  <c r="A275" i="5"/>
  <c r="U274" i="5"/>
  <c r="T274" i="5"/>
  <c r="N274" i="5"/>
  <c r="M274" i="5"/>
  <c r="L274" i="5"/>
  <c r="F274" i="5"/>
  <c r="A274" i="5"/>
  <c r="U273" i="5"/>
  <c r="T273" i="5"/>
  <c r="N273" i="5"/>
  <c r="M273" i="5"/>
  <c r="L273" i="5"/>
  <c r="F273" i="5"/>
  <c r="A273" i="5"/>
  <c r="U272" i="5"/>
  <c r="T272" i="5"/>
  <c r="N272" i="5"/>
  <c r="M272" i="5"/>
  <c r="L272" i="5"/>
  <c r="F272" i="5"/>
  <c r="A272" i="5"/>
  <c r="U271" i="5"/>
  <c r="T271" i="5"/>
  <c r="N271" i="5"/>
  <c r="M271" i="5"/>
  <c r="L271" i="5"/>
  <c r="F271" i="5"/>
  <c r="A271" i="5"/>
  <c r="U270" i="5"/>
  <c r="T270" i="5"/>
  <c r="N270" i="5"/>
  <c r="M270" i="5"/>
  <c r="L270" i="5"/>
  <c r="F270" i="5"/>
  <c r="A270" i="5"/>
  <c r="U269" i="5"/>
  <c r="T269" i="5"/>
  <c r="N269" i="5"/>
  <c r="M269" i="5"/>
  <c r="L269" i="5"/>
  <c r="F269" i="5"/>
  <c r="A269" i="5"/>
  <c r="U268" i="5"/>
  <c r="T268" i="5"/>
  <c r="N268" i="5"/>
  <c r="M268" i="5"/>
  <c r="L268" i="5"/>
  <c r="F268" i="5"/>
  <c r="A268" i="5"/>
  <c r="U267" i="5"/>
  <c r="T267" i="5"/>
  <c r="N267" i="5"/>
  <c r="M267" i="5"/>
  <c r="L267" i="5"/>
  <c r="F267" i="5"/>
  <c r="A267" i="5"/>
  <c r="U266" i="5"/>
  <c r="T266" i="5"/>
  <c r="N266" i="5"/>
  <c r="M266" i="5"/>
  <c r="L266" i="5"/>
  <c r="F266" i="5"/>
  <c r="A266" i="5"/>
  <c r="U265" i="5"/>
  <c r="T265" i="5"/>
  <c r="N265" i="5"/>
  <c r="M265" i="5"/>
  <c r="L265" i="5"/>
  <c r="F265" i="5"/>
  <c r="A265" i="5"/>
  <c r="V264" i="5"/>
  <c r="U264" i="5"/>
  <c r="T264" i="5"/>
  <c r="N264" i="5"/>
  <c r="M264" i="5"/>
  <c r="L264" i="5"/>
  <c r="F264" i="5"/>
  <c r="A264" i="5"/>
  <c r="U263" i="5"/>
  <c r="T263" i="5"/>
  <c r="N263" i="5"/>
  <c r="M263" i="5"/>
  <c r="L263" i="5"/>
  <c r="F263" i="5"/>
  <c r="A263" i="5"/>
  <c r="U262" i="5"/>
  <c r="T262" i="5"/>
  <c r="N262" i="5"/>
  <c r="M262" i="5"/>
  <c r="L262" i="5"/>
  <c r="F262" i="5"/>
  <c r="A262" i="5"/>
  <c r="U261" i="5"/>
  <c r="T261" i="5"/>
  <c r="N261" i="5"/>
  <c r="M261" i="5"/>
  <c r="L261" i="5"/>
  <c r="F261" i="5"/>
  <c r="A261" i="5"/>
  <c r="U260" i="5"/>
  <c r="T260" i="5"/>
  <c r="N260" i="5"/>
  <c r="M260" i="5"/>
  <c r="L260" i="5"/>
  <c r="F260" i="5"/>
  <c r="A260" i="5"/>
  <c r="U259" i="5"/>
  <c r="T259" i="5"/>
  <c r="N259" i="5"/>
  <c r="M259" i="5"/>
  <c r="L259" i="5"/>
  <c r="F259" i="5"/>
  <c r="A259" i="5"/>
  <c r="U258" i="5"/>
  <c r="T258" i="5"/>
  <c r="N258" i="5"/>
  <c r="M258" i="5"/>
  <c r="L258" i="5"/>
  <c r="F258" i="5"/>
  <c r="A258" i="5"/>
  <c r="U257" i="5"/>
  <c r="T257" i="5"/>
  <c r="N257" i="5"/>
  <c r="M257" i="5"/>
  <c r="L257" i="5"/>
  <c r="F257" i="5"/>
  <c r="A257" i="5"/>
  <c r="U256" i="5"/>
  <c r="T256" i="5"/>
  <c r="N256" i="5"/>
  <c r="M256" i="5"/>
  <c r="L256" i="5"/>
  <c r="F256" i="5"/>
  <c r="A256" i="5"/>
  <c r="U255" i="5"/>
  <c r="T255" i="5"/>
  <c r="N255" i="5"/>
  <c r="M255" i="5"/>
  <c r="L255" i="5"/>
  <c r="F255" i="5"/>
  <c r="A255" i="5"/>
  <c r="U254" i="5"/>
  <c r="T254" i="5"/>
  <c r="N254" i="5"/>
  <c r="M254" i="5"/>
  <c r="L254" i="5"/>
  <c r="F254" i="5"/>
  <c r="A254" i="5"/>
  <c r="U253" i="5"/>
  <c r="T253" i="5"/>
  <c r="N253" i="5"/>
  <c r="M253" i="5"/>
  <c r="L253" i="5"/>
  <c r="F253" i="5"/>
  <c r="A253" i="5"/>
  <c r="U252" i="5"/>
  <c r="T252" i="5"/>
  <c r="N252" i="5"/>
  <c r="M252" i="5"/>
  <c r="L252" i="5"/>
  <c r="F252" i="5"/>
  <c r="A252" i="5"/>
  <c r="U251" i="5"/>
  <c r="T251" i="5"/>
  <c r="N251" i="5"/>
  <c r="M251" i="5"/>
  <c r="L251" i="5"/>
  <c r="F251" i="5"/>
  <c r="A251" i="5"/>
  <c r="U250" i="5"/>
  <c r="T250" i="5"/>
  <c r="N250" i="5"/>
  <c r="M250" i="5"/>
  <c r="L250" i="5"/>
  <c r="F250" i="5"/>
  <c r="A250" i="5"/>
  <c r="U249" i="5"/>
  <c r="T249" i="5"/>
  <c r="N249" i="5"/>
  <c r="M249" i="5"/>
  <c r="L249" i="5"/>
  <c r="F249" i="5"/>
  <c r="A249" i="5"/>
  <c r="U248" i="5"/>
  <c r="T248" i="5"/>
  <c r="N248" i="5"/>
  <c r="M248" i="5"/>
  <c r="L248" i="5"/>
  <c r="F248" i="5"/>
  <c r="A248" i="5"/>
  <c r="U247" i="5"/>
  <c r="T247" i="5"/>
  <c r="N247" i="5"/>
  <c r="M247" i="5"/>
  <c r="L247" i="5"/>
  <c r="F247" i="5"/>
  <c r="A247" i="5"/>
  <c r="U246" i="5"/>
  <c r="T246" i="5"/>
  <c r="N246" i="5"/>
  <c r="M246" i="5"/>
  <c r="L246" i="5"/>
  <c r="F246" i="5"/>
  <c r="A246" i="5"/>
  <c r="U245" i="5"/>
  <c r="T245" i="5"/>
  <c r="N245" i="5"/>
  <c r="M245" i="5"/>
  <c r="L245" i="5"/>
  <c r="F245" i="5"/>
  <c r="A245" i="5"/>
  <c r="U244" i="5"/>
  <c r="T244" i="5"/>
  <c r="N244" i="5"/>
  <c r="M244" i="5"/>
  <c r="L244" i="5"/>
  <c r="F244" i="5"/>
  <c r="A244" i="5"/>
  <c r="U243" i="5"/>
  <c r="T243" i="5"/>
  <c r="N243" i="5"/>
  <c r="M243" i="5"/>
  <c r="L243" i="5"/>
  <c r="F243" i="5"/>
  <c r="A243" i="5"/>
  <c r="U242" i="5"/>
  <c r="T242" i="5"/>
  <c r="N242" i="5"/>
  <c r="M242" i="5"/>
  <c r="L242" i="5"/>
  <c r="F242" i="5"/>
  <c r="A242" i="5"/>
  <c r="U241" i="5"/>
  <c r="T241" i="5"/>
  <c r="N241" i="5"/>
  <c r="M241" i="5"/>
  <c r="L241" i="5"/>
  <c r="F241" i="5"/>
  <c r="A241" i="5"/>
  <c r="U240" i="5"/>
  <c r="T240" i="5"/>
  <c r="N240" i="5"/>
  <c r="M240" i="5"/>
  <c r="L240" i="5"/>
  <c r="F240" i="5"/>
  <c r="A240" i="5"/>
  <c r="U239" i="5"/>
  <c r="T239" i="5"/>
  <c r="N239" i="5"/>
  <c r="M239" i="5"/>
  <c r="L239" i="5"/>
  <c r="F239" i="5"/>
  <c r="A239" i="5"/>
  <c r="U238" i="5"/>
  <c r="T238" i="5"/>
  <c r="N238" i="5"/>
  <c r="M238" i="5"/>
  <c r="L238" i="5"/>
  <c r="F238" i="5"/>
  <c r="A238" i="5"/>
  <c r="U237" i="5"/>
  <c r="T237" i="5"/>
  <c r="N237" i="5"/>
  <c r="M237" i="5"/>
  <c r="L237" i="5"/>
  <c r="F237" i="5"/>
  <c r="A237" i="5"/>
  <c r="U236" i="5"/>
  <c r="T236" i="5"/>
  <c r="N236" i="5"/>
  <c r="M236" i="5"/>
  <c r="L236" i="5"/>
  <c r="F236" i="5"/>
  <c r="A236" i="5"/>
  <c r="U235" i="5"/>
  <c r="T235" i="5"/>
  <c r="N235" i="5"/>
  <c r="M235" i="5"/>
  <c r="L235" i="5"/>
  <c r="F235" i="5"/>
  <c r="A235" i="5"/>
  <c r="U234" i="5"/>
  <c r="T234" i="5"/>
  <c r="N234" i="5"/>
  <c r="M234" i="5"/>
  <c r="L234" i="5"/>
  <c r="F234" i="5"/>
  <c r="U233" i="5"/>
  <c r="T233" i="5"/>
  <c r="N233" i="5"/>
  <c r="M233" i="5"/>
  <c r="L233" i="5"/>
  <c r="F233" i="5"/>
  <c r="U232" i="5"/>
  <c r="T232" i="5"/>
  <c r="M232" i="5"/>
  <c r="L232" i="5"/>
  <c r="F232" i="5"/>
  <c r="L227" i="5"/>
  <c r="F227" i="5"/>
  <c r="G215" i="5"/>
  <c r="C215" i="5"/>
  <c r="G214" i="5"/>
  <c r="C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G110" i="5"/>
  <c r="D110" i="5"/>
  <c r="C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A86" i="5"/>
  <c r="G85" i="5"/>
  <c r="A85" i="5"/>
  <c r="G84" i="5"/>
  <c r="A84" i="5"/>
  <c r="G83" i="5"/>
  <c r="A83" i="5"/>
  <c r="G82" i="5"/>
  <c r="A82" i="5"/>
  <c r="G81" i="5"/>
  <c r="A81" i="5"/>
  <c r="G80" i="5"/>
  <c r="A80" i="5"/>
  <c r="G79" i="5"/>
  <c r="A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A15" i="5"/>
  <c r="G14" i="5"/>
  <c r="A14" i="5"/>
  <c r="G13" i="5"/>
  <c r="A13" i="5"/>
  <c r="G12" i="5"/>
  <c r="A12" i="5"/>
  <c r="G11" i="5"/>
  <c r="A11" i="5"/>
  <c r="G10" i="5"/>
  <c r="A10" i="5"/>
  <c r="G9" i="5"/>
  <c r="A9" i="5"/>
  <c r="G8" i="5"/>
  <c r="A8" i="5"/>
  <c r="G7" i="5"/>
  <c r="A7" i="5"/>
  <c r="G6" i="5"/>
  <c r="A6" i="5"/>
  <c r="G5" i="5"/>
  <c r="G4" i="5"/>
</calcChain>
</file>

<file path=xl/connections.xml><?xml version="1.0" encoding="utf-8"?>
<connections xmlns="http://schemas.openxmlformats.org/spreadsheetml/2006/main">
  <connection id="1" interval="60" name="WorksheetConnection_data sample EXCEL course.xlsx!tableMon" type="5" refreshedVersion="2" saveData="1">
    <dbPr connection="" command=""/>
  </connection>
</connections>
</file>

<file path=xl/sharedStrings.xml><?xml version="1.0" encoding="utf-8"?>
<sst xmlns="http://schemas.openxmlformats.org/spreadsheetml/2006/main" count="640" uniqueCount="126">
  <si>
    <t>STATION</t>
  </si>
  <si>
    <t>PMS L/S</t>
  </si>
  <si>
    <t>AGO L/S</t>
  </si>
  <si>
    <t>ODORKOR</t>
  </si>
  <si>
    <t>SHUKURA 1</t>
  </si>
  <si>
    <t>SHUKURA 2</t>
  </si>
  <si>
    <t>AGBOGBA</t>
  </si>
  <si>
    <t>NMAIDZORN</t>
  </si>
  <si>
    <t>OYIBI</t>
  </si>
  <si>
    <t>DANFA</t>
  </si>
  <si>
    <t>TAIFA</t>
  </si>
  <si>
    <t>KATAMANSO</t>
  </si>
  <si>
    <t>BOTWE</t>
  </si>
  <si>
    <t>ASHIAMAN</t>
  </si>
  <si>
    <t>AYIKAI</t>
  </si>
  <si>
    <t>ODUMASE</t>
  </si>
  <si>
    <t>ASHALAJA 1</t>
  </si>
  <si>
    <t>ASHALAJA 3</t>
  </si>
  <si>
    <t>NURSES JNC</t>
  </si>
  <si>
    <t>MAYERA</t>
  </si>
  <si>
    <t>BORTSIANOR</t>
  </si>
  <si>
    <t>ABLEKUMA</t>
  </si>
  <si>
    <t>DANCHIRA</t>
  </si>
  <si>
    <t>AMANFROM</t>
  </si>
  <si>
    <t>BEGORO</t>
  </si>
  <si>
    <t>TEACHER MANTEY</t>
  </si>
  <si>
    <t>ASIAKWA JNC.</t>
  </si>
  <si>
    <t>ADEISO</t>
  </si>
  <si>
    <t>KOFORIDUA ABOAB</t>
  </si>
  <si>
    <t>ASONA</t>
  </si>
  <si>
    <t>AKIM MANSO</t>
  </si>
  <si>
    <t>ASONKORE</t>
  </si>
  <si>
    <t>YAW NKRUMAH</t>
  </si>
  <si>
    <t>ESSIENIMPONG</t>
  </si>
  <si>
    <t>TREDE</t>
  </si>
  <si>
    <t>PAKYI</t>
  </si>
  <si>
    <t>OBUASI 2</t>
  </si>
  <si>
    <t>AKAPOLISO</t>
  </si>
  <si>
    <t>KONKORI</t>
  </si>
  <si>
    <t>KODIE</t>
  </si>
  <si>
    <t>HEMAN</t>
  </si>
  <si>
    <t>TOASE</t>
  </si>
  <si>
    <t>OLD TAFO</t>
  </si>
  <si>
    <t>ABOABO</t>
  </si>
  <si>
    <t>ASUOSO</t>
  </si>
  <si>
    <t>AKROPONG</t>
  </si>
  <si>
    <t>TEPA</t>
  </si>
  <si>
    <t>ANYINASUSO</t>
  </si>
  <si>
    <t>AHENKRO</t>
  </si>
  <si>
    <t>ABOFOUR</t>
  </si>
  <si>
    <t>ABOFOUR 2</t>
  </si>
  <si>
    <t>NYINAHIN</t>
  </si>
  <si>
    <t>ADANKWAME</t>
  </si>
  <si>
    <t>ABOASO</t>
  </si>
  <si>
    <t>ATONSU AGOGO</t>
  </si>
  <si>
    <t>WIAMOASE</t>
  </si>
  <si>
    <t>AGONA</t>
  </si>
  <si>
    <t>DROMANKUMA</t>
  </si>
  <si>
    <t>EJURA 1</t>
  </si>
  <si>
    <t>AGONA 2</t>
  </si>
  <si>
    <t>KUBEASE</t>
  </si>
  <si>
    <t>SUNYANI 2</t>
  </si>
  <si>
    <t>YAWHIMA</t>
  </si>
  <si>
    <t>MANTUKWA</t>
  </si>
  <si>
    <t>DROBO</t>
  </si>
  <si>
    <t>AFRISIPAKROM</t>
  </si>
  <si>
    <t>NTOTROSO</t>
  </si>
  <si>
    <t>CHIRAA</t>
  </si>
  <si>
    <t>NSUATRE</t>
  </si>
  <si>
    <t>TECHIMAN NK</t>
  </si>
  <si>
    <t>OFORIKROM</t>
  </si>
  <si>
    <t>WENCHI KOASE</t>
  </si>
  <si>
    <t>MANKESSIM # 1</t>
  </si>
  <si>
    <t>MANKESSIM #2</t>
  </si>
  <si>
    <t>MANKESSIM #3</t>
  </si>
  <si>
    <t>MANKESSIM # 4</t>
  </si>
  <si>
    <t>SALTPOND 2</t>
  </si>
  <si>
    <t>SALTPOND 1</t>
  </si>
  <si>
    <t>ASSIN FOSU</t>
  </si>
  <si>
    <t>ASIKUMA</t>
  </si>
  <si>
    <t>AJUMAKO</t>
  </si>
  <si>
    <t>JAMRA</t>
  </si>
  <si>
    <t>KUNTANASE</t>
  </si>
  <si>
    <t>KASOA 1</t>
  </si>
  <si>
    <t>KASOA 2</t>
  </si>
  <si>
    <t>KASOA 3</t>
  </si>
  <si>
    <t>FETTEH</t>
  </si>
  <si>
    <t>APAM JNC</t>
  </si>
  <si>
    <t>ESHIEM</t>
  </si>
  <si>
    <t>SWEDRU</t>
  </si>
  <si>
    <t>CAPE COAST</t>
  </si>
  <si>
    <t>JUKWA</t>
  </si>
  <si>
    <t>AGONA NKWANTA</t>
  </si>
  <si>
    <t>ELUBO</t>
  </si>
  <si>
    <t>TAKORADI FIJAI</t>
  </si>
  <si>
    <t>DABOASE</t>
  </si>
  <si>
    <t>ESSIPONG</t>
  </si>
  <si>
    <t>BAWDIE</t>
  </si>
  <si>
    <t>DEBISO</t>
  </si>
  <si>
    <t>AXIM NYAMEBEKYE</t>
  </si>
  <si>
    <t>TETREM</t>
  </si>
  <si>
    <t>ABOSSEY OKAI</t>
  </si>
  <si>
    <t>BIBIANI KWAMEKROM</t>
  </si>
  <si>
    <t>TOTAL</t>
  </si>
  <si>
    <t>STATION NAME</t>
  </si>
  <si>
    <t>S/N</t>
  </si>
  <si>
    <t>ABESIM</t>
  </si>
  <si>
    <t>ABURA ABAKA</t>
  </si>
  <si>
    <t>AKIM CHIA</t>
  </si>
  <si>
    <t>KENYASI</t>
  </si>
  <si>
    <t>KLO AGOGO</t>
  </si>
  <si>
    <t>TWIFO AMPRENKO</t>
  </si>
  <si>
    <t xml:space="preserve"> </t>
  </si>
  <si>
    <t>HIGH PMS SALES (LITRES)</t>
  </si>
  <si>
    <t>HIGH AGO SALES (LITRES)</t>
  </si>
  <si>
    <t>PMS (LITRES)</t>
  </si>
  <si>
    <t>AGO  (LITRES)</t>
  </si>
  <si>
    <t>LITRE SALES PER STOCK (PMS) IN PERCENTAGE (%)</t>
  </si>
  <si>
    <t>LITRE SALES PER STOCK (AGO) IN PERCENTAGE (%)</t>
  </si>
  <si>
    <t>TOTAL LITRE SALES PER STOCK (AGO &amp; PMS) IN (%)</t>
  </si>
  <si>
    <t>PMS STOCK</t>
  </si>
  <si>
    <t>REMAINING STOCK</t>
  </si>
  <si>
    <t>Litre sales / stock (%)</t>
  </si>
  <si>
    <t>AGO STOCK</t>
  </si>
  <si>
    <t>TOTAL L/S SOLD</t>
  </si>
  <si>
    <t>TOTAL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</si>
</sst>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800]dddd\,\ mmmm\ dd\,\ yyyy"/>
  </numFmts>
  <fonts count="20">
    <font>
      <sz val="11"/>
      <color theme="1"/>
      <name val="Calibri"/>
      <charset val="134"/>
      <scheme val="minor"/>
    </font>
    <font>
      <sz val="12.5"/>
      <color theme="1"/>
      <name val="Times New Roman"/>
      <family val="1"/>
    </font>
    <font>
      <b/>
      <sz val="12.5"/>
      <color theme="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.5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.5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color theme="1" tint="4.9989318521683403E-2"/>
      <name val="Times New Roman"/>
      <family val="1"/>
    </font>
    <font>
      <sz val="15"/>
      <color theme="1"/>
      <name val="Times New Roman"/>
      <family val="1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125">
        <bgColor rgb="FFE5E5E5"/>
      </patternFill>
    </fill>
    <fill>
      <patternFill patternType="solid">
        <fgColor theme="0" tint="-0.14978484450819421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40" fontId="0" fillId="0" borderId="0" xfId="0" applyNumberFormat="1"/>
    <xf numFmtId="40" fontId="1" fillId="4" borderId="3" xfId="0" applyNumberFormat="1" applyFont="1" applyFill="1" applyBorder="1"/>
    <xf numFmtId="2" fontId="2" fillId="2" borderId="0" xfId="0" applyNumberFormat="1" applyFont="1" applyFill="1"/>
    <xf numFmtId="0" fontId="3" fillId="0" borderId="0" xfId="0" applyFont="1"/>
    <xf numFmtId="0" fontId="1" fillId="0" borderId="0" xfId="0" applyFont="1"/>
    <xf numFmtId="0" fontId="1" fillId="3" borderId="0" xfId="0" applyFont="1" applyFill="1"/>
    <xf numFmtId="0" fontId="4" fillId="3" borderId="5" xfId="0" applyFont="1" applyFill="1" applyBorder="1" applyAlignment="1">
      <alignment horizontal="left" vertical="top"/>
    </xf>
    <xf numFmtId="40" fontId="4" fillId="4" borderId="4" xfId="0" applyNumberFormat="1" applyFont="1" applyFill="1" applyBorder="1"/>
    <xf numFmtId="0" fontId="4" fillId="3" borderId="4" xfId="0" applyFont="1" applyFill="1" applyBorder="1"/>
    <xf numFmtId="40" fontId="4" fillId="3" borderId="18" xfId="0" applyNumberFormat="1" applyFont="1" applyFill="1" applyBorder="1"/>
    <xf numFmtId="40" fontId="4" fillId="3" borderId="19" xfId="0" applyNumberFormat="1" applyFont="1" applyFill="1" applyBorder="1"/>
    <xf numFmtId="40" fontId="4" fillId="3" borderId="20" xfId="0" applyNumberFormat="1" applyFont="1" applyFill="1" applyBorder="1"/>
    <xf numFmtId="40" fontId="3" fillId="3" borderId="3" xfId="0" applyNumberFormat="1" applyFont="1" applyFill="1" applyBorder="1"/>
    <xf numFmtId="40" fontId="4" fillId="3" borderId="13" xfId="0" applyNumberFormat="1" applyFont="1" applyFill="1" applyBorder="1"/>
    <xf numFmtId="40" fontId="4" fillId="3" borderId="3" xfId="0" applyNumberFormat="1" applyFont="1" applyFill="1" applyBorder="1"/>
    <xf numFmtId="40" fontId="4" fillId="3" borderId="14" xfId="0" applyNumberFormat="1" applyFont="1" applyFill="1" applyBorder="1"/>
    <xf numFmtId="40" fontId="4" fillId="3" borderId="23" xfId="0" applyNumberFormat="1" applyFont="1" applyFill="1" applyBorder="1"/>
    <xf numFmtId="40" fontId="4" fillId="3" borderId="22" xfId="0" applyNumberFormat="1" applyFont="1" applyFill="1" applyBorder="1"/>
    <xf numFmtId="40" fontId="4" fillId="3" borderId="24" xfId="0" applyNumberFormat="1" applyFont="1" applyFill="1" applyBorder="1"/>
    <xf numFmtId="0" fontId="3" fillId="0" borderId="7" xfId="0" applyFont="1" applyBorder="1"/>
    <xf numFmtId="0" fontId="3" fillId="3" borderId="26" xfId="0" applyFont="1" applyFill="1" applyBorder="1"/>
    <xf numFmtId="40" fontId="17" fillId="3" borderId="19" xfId="0" applyNumberFormat="1" applyFont="1" applyFill="1" applyBorder="1"/>
    <xf numFmtId="40" fontId="4" fillId="3" borderId="13" xfId="0" applyNumberFormat="1" applyFont="1" applyFill="1" applyBorder="1" applyAlignment="1">
      <alignment horizontal="left" vertical="top"/>
    </xf>
    <xf numFmtId="0" fontId="16" fillId="2" borderId="0" xfId="0" applyFont="1" applyFill="1"/>
    <xf numFmtId="40" fontId="3" fillId="6" borderId="3" xfId="0" applyNumberFormat="1" applyFont="1" applyFill="1" applyBorder="1"/>
    <xf numFmtId="0" fontId="4" fillId="3" borderId="3" xfId="0" applyFont="1" applyFill="1" applyBorder="1"/>
    <xf numFmtId="4" fontId="3" fillId="0" borderId="0" xfId="0" applyNumberFormat="1" applyFont="1"/>
    <xf numFmtId="40" fontId="3" fillId="0" borderId="0" xfId="0" applyNumberFormat="1" applyFont="1"/>
    <xf numFmtId="40" fontId="3" fillId="6" borderId="5" xfId="0" applyNumberFormat="1" applyFont="1" applyFill="1" applyBorder="1"/>
    <xf numFmtId="0" fontId="12" fillId="3" borderId="5" xfId="0" applyFont="1" applyFill="1" applyBorder="1" applyAlignment="1">
      <alignment horizontal="center"/>
    </xf>
    <xf numFmtId="40" fontId="3" fillId="6" borderId="0" xfId="0" applyNumberFormat="1" applyFont="1" applyFill="1"/>
    <xf numFmtId="40" fontId="15" fillId="2" borderId="0" xfId="0" applyNumberFormat="1" applyFont="1" applyFill="1"/>
    <xf numFmtId="40" fontId="4" fillId="3" borderId="0" xfId="0" applyNumberFormat="1" applyFont="1" applyFill="1"/>
    <xf numFmtId="0" fontId="3" fillId="0" borderId="10" xfId="0" applyFont="1" applyBorder="1"/>
    <xf numFmtId="2" fontId="4" fillId="0" borderId="10" xfId="0" applyNumberFormat="1" applyFont="1" applyBorder="1"/>
    <xf numFmtId="2" fontId="4" fillId="0" borderId="8" xfId="0" applyNumberFormat="1" applyFont="1" applyBorder="1"/>
    <xf numFmtId="0" fontId="3" fillId="0" borderId="29" xfId="0" applyFont="1" applyBorder="1"/>
    <xf numFmtId="2" fontId="4" fillId="0" borderId="29" xfId="0" applyNumberFormat="1" applyFont="1" applyBorder="1"/>
    <xf numFmtId="2" fontId="4" fillId="0" borderId="30" xfId="0" applyNumberFormat="1" applyFont="1" applyBorder="1"/>
    <xf numFmtId="0" fontId="3" fillId="6" borderId="29" xfId="0" applyFont="1" applyFill="1" applyBorder="1"/>
    <xf numFmtId="0" fontId="16" fillId="2" borderId="0" xfId="0" applyFont="1" applyFill="1" applyAlignment="1">
      <alignment horizontal="right" vertical="top"/>
    </xf>
    <xf numFmtId="2" fontId="12" fillId="0" borderId="29" xfId="0" applyNumberFormat="1" applyFont="1" applyBorder="1"/>
    <xf numFmtId="2" fontId="12" fillId="0" borderId="30" xfId="0" applyNumberFormat="1" applyFont="1" applyBorder="1"/>
    <xf numFmtId="0" fontId="16" fillId="2" borderId="30" xfId="0" applyFont="1" applyFill="1" applyBorder="1" applyAlignment="1">
      <alignment horizontal="right" vertical="top"/>
    </xf>
    <xf numFmtId="0" fontId="13" fillId="6" borderId="29" xfId="0" applyFont="1" applyFill="1" applyBorder="1"/>
    <xf numFmtId="0" fontId="15" fillId="2" borderId="2" xfId="0" applyFont="1" applyFill="1" applyBorder="1"/>
    <xf numFmtId="40" fontId="15" fillId="2" borderId="2" xfId="0" applyNumberFormat="1" applyFont="1" applyFill="1" applyBorder="1"/>
    <xf numFmtId="2" fontId="3" fillId="0" borderId="0" xfId="0" applyNumberFormat="1" applyFont="1"/>
    <xf numFmtId="40" fontId="12" fillId="3" borderId="17" xfId="0" applyNumberFormat="1" applyFont="1" applyFill="1" applyBorder="1"/>
    <xf numFmtId="40" fontId="4" fillId="3" borderId="31" xfId="0" applyNumberFormat="1" applyFont="1" applyFill="1" applyBorder="1"/>
    <xf numFmtId="40" fontId="4" fillId="3" borderId="32" xfId="0" applyNumberFormat="1" applyFont="1" applyFill="1" applyBorder="1"/>
    <xf numFmtId="40" fontId="4" fillId="3" borderId="33" xfId="0" applyNumberFormat="1" applyFont="1" applyFill="1" applyBorder="1"/>
    <xf numFmtId="40" fontId="12" fillId="3" borderId="15" xfId="0" applyNumberFormat="1" applyFont="1" applyFill="1" applyBorder="1"/>
    <xf numFmtId="40" fontId="12" fillId="3" borderId="12" xfId="0" applyNumberFormat="1" applyFont="1" applyFill="1" applyBorder="1"/>
    <xf numFmtId="0" fontId="4" fillId="0" borderId="10" xfId="0" applyFont="1" applyBorder="1"/>
    <xf numFmtId="0" fontId="4" fillId="0" borderId="29" xfId="0" applyFont="1" applyBorder="1"/>
    <xf numFmtId="0" fontId="3" fillId="6" borderId="0" xfId="0" applyFont="1" applyFill="1"/>
    <xf numFmtId="0" fontId="13" fillId="3" borderId="7" xfId="0" applyFont="1" applyFill="1" applyBorder="1"/>
    <xf numFmtId="4" fontId="12" fillId="6" borderId="7" xfId="0" applyNumberFormat="1" applyFont="1" applyFill="1" applyBorder="1" applyAlignment="1">
      <alignment wrapText="1"/>
    </xf>
    <xf numFmtId="0" fontId="12" fillId="6" borderId="7" xfId="0" applyFont="1" applyFill="1" applyBorder="1" applyAlignment="1">
      <alignment wrapText="1"/>
    </xf>
    <xf numFmtId="0" fontId="13" fillId="3" borderId="6" xfId="0" applyFont="1" applyFill="1" applyBorder="1" applyAlignment="1">
      <alignment horizontal="justify" vertical="justify"/>
    </xf>
    <xf numFmtId="0" fontId="13" fillId="3" borderId="7" xfId="0" applyFont="1" applyFill="1" applyBorder="1" applyAlignment="1">
      <alignment horizontal="justify" vertical="justify"/>
    </xf>
    <xf numFmtId="0" fontId="4" fillId="6" borderId="29" xfId="0" applyFont="1" applyFill="1" applyBorder="1"/>
    <xf numFmtId="0" fontId="12" fillId="3" borderId="7" xfId="0" applyFont="1" applyFill="1" applyBorder="1"/>
    <xf numFmtId="0" fontId="12" fillId="6" borderId="37" xfId="0" applyFont="1" applyFill="1" applyBorder="1" applyAlignment="1">
      <alignment wrapText="1"/>
    </xf>
    <xf numFmtId="0" fontId="12" fillId="6" borderId="38" xfId="0" applyFont="1" applyFill="1" applyBorder="1" applyAlignment="1">
      <alignment wrapText="1"/>
    </xf>
    <xf numFmtId="0" fontId="12" fillId="3" borderId="8" xfId="0" applyFont="1" applyFill="1" applyBorder="1" applyAlignment="1">
      <alignment horizontal="justify" vertical="justify"/>
    </xf>
    <xf numFmtId="0" fontId="13" fillId="6" borderId="0" xfId="0" applyFont="1" applyFill="1"/>
    <xf numFmtId="40" fontId="4" fillId="3" borderId="39" xfId="0" applyNumberFormat="1" applyFont="1" applyFill="1" applyBorder="1"/>
    <xf numFmtId="40" fontId="4" fillId="3" borderId="40" xfId="0" applyNumberFormat="1" applyFont="1" applyFill="1" applyBorder="1"/>
    <xf numFmtId="40" fontId="4" fillId="3" borderId="41" xfId="0" applyNumberFormat="1" applyFont="1" applyFill="1" applyBorder="1"/>
    <xf numFmtId="0" fontId="12" fillId="6" borderId="29" xfId="0" applyFont="1" applyFill="1" applyBorder="1"/>
    <xf numFmtId="40" fontId="4" fillId="3" borderId="39" xfId="0" applyNumberFormat="1" applyFont="1" applyFill="1" applyBorder="1" applyAlignment="1">
      <alignment horizontal="left" vertical="top"/>
    </xf>
    <xf numFmtId="40" fontId="4" fillId="3" borderId="42" xfId="0" applyNumberFormat="1" applyFont="1" applyFill="1" applyBorder="1"/>
    <xf numFmtId="40" fontId="4" fillId="3" borderId="43" xfId="0" applyNumberFormat="1" applyFont="1" applyFill="1" applyBorder="1"/>
    <xf numFmtId="40" fontId="4" fillId="3" borderId="44" xfId="0" applyNumberFormat="1" applyFont="1" applyFill="1" applyBorder="1"/>
    <xf numFmtId="0" fontId="16" fillId="2" borderId="2" xfId="0" applyFont="1" applyFill="1" applyBorder="1"/>
    <xf numFmtId="40" fontId="16" fillId="2" borderId="11" xfId="0" applyNumberFormat="1" applyFont="1" applyFill="1" applyBorder="1"/>
    <xf numFmtId="40" fontId="12" fillId="3" borderId="16" xfId="0" applyNumberFormat="1" applyFont="1" applyFill="1" applyBorder="1"/>
    <xf numFmtId="0" fontId="12" fillId="6" borderId="0" xfId="0" applyFont="1" applyFill="1"/>
    <xf numFmtId="0" fontId="16" fillId="2" borderId="11" xfId="0" applyFont="1" applyFill="1" applyBorder="1"/>
    <xf numFmtId="40" fontId="12" fillId="3" borderId="45" xfId="0" applyNumberFormat="1" applyFont="1" applyFill="1" applyBorder="1"/>
    <xf numFmtId="0" fontId="3" fillId="0" borderId="9" xfId="0" applyFont="1" applyBorder="1"/>
    <xf numFmtId="0" fontId="13" fillId="0" borderId="19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165" fontId="3" fillId="0" borderId="27" xfId="0" applyNumberFormat="1" applyFont="1" applyBorder="1" applyAlignment="1">
      <alignment horizontal="center"/>
    </xf>
    <xf numFmtId="165" fontId="3" fillId="0" borderId="21" xfId="0" applyNumberFormat="1" applyFont="1" applyBorder="1" applyAlignment="1">
      <alignment horizontal="center"/>
    </xf>
    <xf numFmtId="0" fontId="15" fillId="2" borderId="34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justify"/>
    </xf>
    <xf numFmtId="0" fontId="16" fillId="2" borderId="35" xfId="0" applyFont="1" applyFill="1" applyBorder="1" applyAlignment="1">
      <alignment horizontal="center" vertical="justify"/>
    </xf>
    <xf numFmtId="165" fontId="13" fillId="3" borderId="36" xfId="0" applyNumberFormat="1" applyFont="1" applyFill="1" applyBorder="1" applyAlignment="1">
      <alignment horizontal="center"/>
    </xf>
    <xf numFmtId="0" fontId="0" fillId="0" borderId="0" xfId="0" applyBorder="1"/>
    <xf numFmtId="3" fontId="4" fillId="0" borderId="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3" fontId="0" fillId="0" borderId="0" xfId="0" applyNumberFormat="1" applyBorder="1"/>
    <xf numFmtId="40" fontId="12" fillId="3" borderId="0" xfId="0" applyNumberFormat="1" applyFont="1" applyFill="1" applyBorder="1"/>
    <xf numFmtId="0" fontId="3" fillId="0" borderId="0" xfId="0" applyFont="1" applyBorder="1"/>
    <xf numFmtId="0" fontId="18" fillId="0" borderId="0" xfId="0" applyFont="1" applyBorder="1"/>
    <xf numFmtId="0" fontId="4" fillId="3" borderId="0" xfId="0" applyFont="1" applyFill="1" applyBorder="1"/>
    <xf numFmtId="4" fontId="3" fillId="0" borderId="0" xfId="0" applyNumberFormat="1" applyFont="1" applyBorder="1"/>
    <xf numFmtId="40" fontId="0" fillId="0" borderId="0" xfId="0" applyNumberFormat="1" applyBorder="1"/>
    <xf numFmtId="0" fontId="14" fillId="0" borderId="0" xfId="0" applyFont="1" applyBorder="1"/>
    <xf numFmtId="0" fontId="4" fillId="3" borderId="0" xfId="0" applyFont="1" applyFill="1" applyBorder="1" applyAlignment="1">
      <alignment horizontal="left" vertical="top"/>
    </xf>
    <xf numFmtId="4" fontId="6" fillId="0" borderId="0" xfId="0" applyNumberFormat="1" applyFont="1" applyBorder="1" applyAlignment="1">
      <alignment horizontal="right" vertical="center" wrapText="1"/>
    </xf>
    <xf numFmtId="4" fontId="0" fillId="0" borderId="0" xfId="0" applyNumberFormat="1" applyBorder="1"/>
    <xf numFmtId="4" fontId="11" fillId="0" borderId="0" xfId="0" applyNumberFormat="1" applyFont="1" applyBorder="1" applyAlignment="1">
      <alignment horizontal="right" vertical="center" wrapText="1"/>
    </xf>
    <xf numFmtId="0" fontId="11" fillId="0" borderId="0" xfId="0" applyFont="1" applyBorder="1" applyAlignment="1">
      <alignment horizontal="right" vertical="center" wrapText="1"/>
    </xf>
    <xf numFmtId="40" fontId="14" fillId="0" borderId="0" xfId="0" applyNumberFormat="1" applyFont="1" applyBorder="1"/>
    <xf numFmtId="0" fontId="6" fillId="0" borderId="0" xfId="0" applyFont="1" applyBorder="1" applyAlignment="1">
      <alignment horizontal="right" vertical="center" wrapText="1"/>
    </xf>
    <xf numFmtId="4" fontId="8" fillId="0" borderId="0" xfId="0" applyNumberFormat="1" applyFont="1" applyBorder="1" applyAlignment="1">
      <alignment horizontal="right" vertical="center" wrapText="1"/>
    </xf>
    <xf numFmtId="0" fontId="5" fillId="0" borderId="0" xfId="0" applyFont="1" applyBorder="1"/>
    <xf numFmtId="4" fontId="11" fillId="0" borderId="0" xfId="0" applyNumberFormat="1" applyFont="1" applyBorder="1" applyAlignment="1">
      <alignment horizontal="right" vertical="center" wrapText="1"/>
    </xf>
    <xf numFmtId="0" fontId="9" fillId="0" borderId="0" xfId="0" applyFont="1" applyBorder="1" applyAlignment="1">
      <alignment horizontal="justify" vertical="center" wrapText="1"/>
    </xf>
    <xf numFmtId="4" fontId="6" fillId="0" borderId="0" xfId="0" applyNumberFormat="1" applyFont="1" applyBorder="1" applyAlignment="1">
      <alignment horizontal="right" vertical="center" wrapText="1"/>
    </xf>
    <xf numFmtId="40" fontId="3" fillId="0" borderId="0" xfId="0" applyNumberFormat="1" applyFont="1" applyBorder="1"/>
    <xf numFmtId="0" fontId="9" fillId="0" borderId="0" xfId="0" applyFont="1" applyBorder="1" applyAlignment="1">
      <alignment horizontal="right" vertical="center" wrapText="1"/>
    </xf>
    <xf numFmtId="4" fontId="8" fillId="0" borderId="0" xfId="0" applyNumberFormat="1" applyFont="1" applyBorder="1" applyAlignment="1">
      <alignment horizontal="right" vertical="center" wrapText="1"/>
    </xf>
    <xf numFmtId="4" fontId="7" fillId="5" borderId="0" xfId="0" applyNumberFormat="1" applyFont="1" applyFill="1" applyBorder="1" applyAlignment="1">
      <alignment horizontal="right" vertical="center" wrapText="1"/>
    </xf>
    <xf numFmtId="4" fontId="6" fillId="5" borderId="0" xfId="0" applyNumberFormat="1" applyFont="1" applyFill="1" applyBorder="1" applyAlignment="1">
      <alignment horizontal="right" vertical="center" wrapText="1"/>
    </xf>
    <xf numFmtId="0" fontId="15" fillId="2" borderId="0" xfId="0" applyFont="1" applyFill="1" applyBorder="1"/>
    <xf numFmtId="0" fontId="13" fillId="0" borderId="0" xfId="0" applyFont="1" applyBorder="1"/>
    <xf numFmtId="4" fontId="10" fillId="0" borderId="0" xfId="0" applyNumberFormat="1" applyFont="1" applyBorder="1" applyAlignment="1">
      <alignment horizontal="right" vertical="center" wrapText="1"/>
    </xf>
    <xf numFmtId="4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/>
    <xf numFmtId="14" fontId="3" fillId="0" borderId="0" xfId="0" applyNumberFormat="1" applyFont="1" applyBorder="1"/>
    <xf numFmtId="4" fontId="10" fillId="5" borderId="0" xfId="0" applyNumberFormat="1" applyFont="1" applyFill="1" applyBorder="1" applyAlignment="1">
      <alignment horizontal="right" vertical="center" wrapText="1"/>
    </xf>
    <xf numFmtId="4" fontId="10" fillId="0" borderId="0" xfId="0" applyNumberFormat="1" applyFont="1" applyBorder="1"/>
    <xf numFmtId="4" fontId="19" fillId="5" borderId="0" xfId="0" applyNumberFormat="1" applyFont="1" applyFill="1" applyBorder="1" applyAlignment="1">
      <alignment horizontal="right" vertical="center" wrapText="1"/>
    </xf>
    <xf numFmtId="4" fontId="6" fillId="0" borderId="0" xfId="0" applyNumberFormat="1" applyFont="1" applyBorder="1"/>
    <xf numFmtId="4" fontId="10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 wrapText="1"/>
    </xf>
    <xf numFmtId="4" fontId="11" fillId="0" borderId="0" xfId="0" applyNumberFormat="1" applyFont="1" applyBorder="1"/>
    <xf numFmtId="4" fontId="7" fillId="0" borderId="0" xfId="0" applyNumberFormat="1" applyFont="1" applyBorder="1" applyAlignment="1">
      <alignment horizontal="right" vertical="center" wrapText="1"/>
    </xf>
    <xf numFmtId="4" fontId="10" fillId="0" borderId="0" xfId="0" applyNumberFormat="1" applyFont="1" applyBorder="1" applyAlignment="1">
      <alignment horizontal="right" vertical="center" wrapText="1"/>
    </xf>
    <xf numFmtId="0" fontId="12" fillId="3" borderId="0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1454817346722"/>
    <pageSetUpPr fitToPage="1"/>
  </sheetPr>
  <dimension ref="A1:AU360"/>
  <sheetViews>
    <sheetView tabSelected="1" topLeftCell="A187" zoomScale="40" zoomScaleNormal="40" workbookViewId="0">
      <selection activeCell="D237" sqref="D237"/>
    </sheetView>
  </sheetViews>
  <sheetFormatPr defaultColWidth="9" defaultRowHeight="15"/>
  <cols>
    <col min="1" max="1" width="5.28515625" customWidth="1"/>
    <col min="2" max="2" width="25.28515625" customWidth="1"/>
    <col min="3" max="3" width="25.140625" customWidth="1"/>
    <col min="4" max="4" width="17.140625" customWidth="1"/>
    <col min="5" max="5" width="16.7109375" customWidth="1"/>
    <col min="6" max="6" width="24.7109375" customWidth="1"/>
    <col min="7" max="7" width="22.28515625" customWidth="1"/>
    <col min="8" max="8" width="21.28515625" customWidth="1"/>
    <col min="9" max="9" width="22" customWidth="1"/>
    <col min="10" max="11" width="18" customWidth="1"/>
    <col min="12" max="12" width="25.7109375" customWidth="1"/>
    <col min="13" max="13" width="17.7109375" customWidth="1"/>
    <col min="14" max="14" width="9" customWidth="1"/>
    <col min="15" max="15" width="23.28515625" customWidth="1"/>
    <col min="16" max="16" width="16.5703125" customWidth="1"/>
    <col min="17" max="17" width="19.140625" customWidth="1"/>
    <col min="18" max="18" width="18.85546875" customWidth="1"/>
    <col min="19" max="19" width="15" customWidth="1"/>
    <col min="20" max="20" width="11.5703125" customWidth="1"/>
    <col min="21" max="21" width="11.7109375" customWidth="1"/>
    <col min="22" max="22" width="10.85546875" customWidth="1"/>
    <col min="23" max="23" width="18.5703125" customWidth="1"/>
    <col min="24" max="24" width="12.5703125" customWidth="1"/>
    <col min="25" max="25" width="12" customWidth="1"/>
    <col min="27" max="27" width="24.7109375" customWidth="1"/>
    <col min="28" max="28" width="24.28515625" customWidth="1"/>
    <col min="29" max="29" width="20.28515625" customWidth="1"/>
    <col min="30" max="30" width="19.42578125" customWidth="1"/>
    <col min="31" max="31" width="19.140625" customWidth="1"/>
    <col min="36" max="37" width="11.28515625" customWidth="1"/>
    <col min="38" max="38" width="12.140625" customWidth="1"/>
    <col min="39" max="39" width="10.85546875" customWidth="1"/>
    <col min="40" max="40" width="11.5703125" style="1" customWidth="1"/>
    <col min="41" max="41" width="10.140625" customWidth="1"/>
    <col min="42" max="43" width="13.140625" customWidth="1"/>
    <col min="44" max="44" width="12.140625" customWidth="1"/>
    <col min="45" max="45" width="10.42578125" customWidth="1"/>
    <col min="46" max="46" width="10.140625" style="1" customWidth="1"/>
    <col min="47" max="47" width="12.28515625" style="1" customWidth="1"/>
    <col min="54" max="55" width="11" customWidth="1"/>
    <col min="58" max="58" width="10.85546875" customWidth="1"/>
    <col min="59" max="60" width="11.28515625" customWidth="1"/>
  </cols>
  <sheetData>
    <row r="1" spans="1:32" ht="14.4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32">
      <c r="A2" s="4"/>
      <c r="B2" s="4"/>
      <c r="C2" s="4"/>
      <c r="D2" s="4"/>
      <c r="E2" s="4"/>
      <c r="F2" s="4"/>
      <c r="G2" s="4"/>
      <c r="H2" s="4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4"/>
      <c r="Z2" s="94"/>
      <c r="AA2" s="94"/>
      <c r="AB2" s="94"/>
      <c r="AC2" s="94"/>
      <c r="AD2" s="94"/>
      <c r="AE2" s="94"/>
      <c r="AF2" s="94"/>
    </row>
    <row r="3" spans="1:32" ht="34.9" customHeight="1">
      <c r="A3" s="4"/>
      <c r="B3" s="24" t="s">
        <v>104</v>
      </c>
      <c r="C3" s="24"/>
      <c r="D3" s="24"/>
      <c r="E3" s="24"/>
      <c r="F3" s="4"/>
      <c r="G3" s="4"/>
      <c r="H3" s="4"/>
      <c r="I3" s="99"/>
      <c r="J3" s="99"/>
      <c r="K3" s="100"/>
      <c r="L3" s="100"/>
      <c r="M3" s="100"/>
      <c r="N3" s="100"/>
      <c r="O3" s="100"/>
      <c r="P3" s="100"/>
      <c r="Q3" s="100"/>
      <c r="R3" s="94"/>
      <c r="S3" s="94"/>
      <c r="T3" s="94"/>
      <c r="U3" s="94"/>
      <c r="V3" s="94"/>
      <c r="W3" s="94"/>
      <c r="X3" s="99"/>
      <c r="Y3" s="94"/>
      <c r="Z3" s="94"/>
      <c r="AA3" s="94"/>
      <c r="AB3" s="94"/>
      <c r="AC3" s="94"/>
      <c r="AD3" s="94"/>
      <c r="AE3" s="94"/>
      <c r="AF3" s="94"/>
    </row>
    <row r="4" spans="1:32" ht="16.5">
      <c r="A4" s="4">
        <v>1</v>
      </c>
      <c r="B4" s="3" t="s">
        <v>3</v>
      </c>
      <c r="C4" s="2">
        <v>276.27999999999997</v>
      </c>
      <c r="D4" s="2">
        <v>290.99</v>
      </c>
      <c r="E4" s="25"/>
      <c r="F4" s="26"/>
      <c r="G4" s="13">
        <f t="shared" ref="G4:G35" si="0">C4+D4</f>
        <v>567.27</v>
      </c>
      <c r="H4" s="4"/>
      <c r="I4" s="99"/>
      <c r="J4" s="101"/>
      <c r="K4" s="99"/>
      <c r="L4" s="102"/>
      <c r="M4" s="102"/>
      <c r="N4" s="102"/>
      <c r="O4" s="102"/>
      <c r="P4" s="99"/>
      <c r="Q4" s="94"/>
      <c r="R4" s="94"/>
      <c r="S4" s="103"/>
      <c r="T4" s="94"/>
      <c r="U4" s="94"/>
      <c r="V4" s="94"/>
      <c r="W4" s="94"/>
      <c r="X4" s="99"/>
      <c r="Y4" s="94"/>
      <c r="Z4" s="94"/>
      <c r="AA4" s="94"/>
      <c r="AB4" s="94"/>
      <c r="AC4" s="94"/>
      <c r="AD4" s="94"/>
      <c r="AE4" s="94"/>
      <c r="AF4" s="94"/>
    </row>
    <row r="5" spans="1:32" ht="16.5">
      <c r="A5" s="4">
        <v>2</v>
      </c>
      <c r="B5" s="5" t="s">
        <v>4</v>
      </c>
      <c r="C5" s="2">
        <v>151.49</v>
      </c>
      <c r="D5" s="2">
        <v>87.13</v>
      </c>
      <c r="E5" s="25"/>
      <c r="F5" s="26"/>
      <c r="G5" s="13">
        <f t="shared" si="0"/>
        <v>238.62</v>
      </c>
      <c r="H5" s="4"/>
      <c r="I5" s="99"/>
      <c r="J5" s="101"/>
      <c r="K5" s="104"/>
      <c r="L5" s="99"/>
      <c r="M5" s="99"/>
      <c r="N5" s="99"/>
      <c r="O5" s="99"/>
      <c r="P5" s="99"/>
      <c r="Q5" s="94"/>
      <c r="R5" s="94"/>
      <c r="S5" s="103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</row>
    <row r="6" spans="1:32" ht="16.5">
      <c r="A6" s="4">
        <f t="shared" ref="A6:A37" si="1">1+A5</f>
        <v>3</v>
      </c>
      <c r="B6" s="5" t="s">
        <v>5</v>
      </c>
      <c r="C6" s="2">
        <v>179.98</v>
      </c>
      <c r="D6" s="2">
        <v>37.64</v>
      </c>
      <c r="E6" s="25"/>
      <c r="F6" s="26"/>
      <c r="G6" s="13">
        <f t="shared" si="0"/>
        <v>217.62</v>
      </c>
      <c r="H6" s="4"/>
      <c r="I6" s="99"/>
      <c r="J6" s="105"/>
      <c r="K6" s="99"/>
      <c r="L6" s="102"/>
      <c r="M6" s="99"/>
      <c r="N6" s="99"/>
      <c r="O6" s="102"/>
      <c r="P6" s="102"/>
      <c r="Q6" s="94"/>
      <c r="R6" s="94"/>
      <c r="S6" s="103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</row>
    <row r="7" spans="1:32" ht="15.6" customHeight="1">
      <c r="A7" s="4">
        <f t="shared" si="1"/>
        <v>4</v>
      </c>
      <c r="B7" s="5" t="s">
        <v>6</v>
      </c>
      <c r="C7" s="2">
        <v>335.21</v>
      </c>
      <c r="D7" s="2">
        <v>29.52</v>
      </c>
      <c r="E7" s="25"/>
      <c r="F7" s="26"/>
      <c r="G7" s="13">
        <f t="shared" si="0"/>
        <v>364.73</v>
      </c>
      <c r="H7" s="4"/>
      <c r="I7" s="99"/>
      <c r="J7" s="101"/>
      <c r="K7" s="102"/>
      <c r="L7" s="99"/>
      <c r="M7" s="99"/>
      <c r="N7" s="99"/>
      <c r="O7" s="99"/>
      <c r="P7" s="99"/>
      <c r="Q7" s="94"/>
      <c r="R7" s="94"/>
      <c r="S7" s="103"/>
      <c r="T7" s="94"/>
      <c r="U7" s="94"/>
      <c r="V7" s="94"/>
      <c r="W7" s="94"/>
      <c r="X7" s="104"/>
      <c r="Y7" s="94"/>
      <c r="Z7" s="94"/>
      <c r="AA7" s="106"/>
      <c r="AB7" s="106"/>
      <c r="AC7" s="106"/>
      <c r="AD7" s="103"/>
      <c r="AE7" s="94"/>
      <c r="AF7" s="94"/>
    </row>
    <row r="8" spans="1:32" ht="16.5">
      <c r="A8" s="4">
        <f t="shared" si="1"/>
        <v>5</v>
      </c>
      <c r="B8" s="5" t="s">
        <v>7</v>
      </c>
      <c r="C8" s="2"/>
      <c r="D8" s="2"/>
      <c r="E8" s="25"/>
      <c r="F8" s="26"/>
      <c r="G8" s="13">
        <f t="shared" si="0"/>
        <v>0</v>
      </c>
      <c r="H8" s="4"/>
      <c r="I8" s="99"/>
      <c r="J8" s="101"/>
      <c r="K8" s="99"/>
      <c r="L8" s="99"/>
      <c r="M8" s="102"/>
      <c r="N8" s="99"/>
      <c r="O8" s="99"/>
      <c r="P8" s="102"/>
      <c r="Q8" s="107"/>
      <c r="R8" s="94"/>
      <c r="S8" s="103"/>
      <c r="T8" s="94"/>
      <c r="U8" s="94"/>
      <c r="V8" s="94"/>
      <c r="W8" s="94"/>
      <c r="X8" s="94"/>
      <c r="Y8" s="94"/>
      <c r="Z8" s="94"/>
      <c r="AA8" s="106"/>
      <c r="AB8" s="106"/>
      <c r="AC8" s="108"/>
      <c r="AD8" s="103"/>
      <c r="AE8" s="94"/>
      <c r="AF8" s="94"/>
    </row>
    <row r="9" spans="1:32" ht="16.5">
      <c r="A9" s="4">
        <f t="shared" si="1"/>
        <v>6</v>
      </c>
      <c r="B9" s="5" t="s">
        <v>8</v>
      </c>
      <c r="C9" s="2">
        <v>1223.01</v>
      </c>
      <c r="D9" s="2">
        <v>570.09</v>
      </c>
      <c r="E9" s="25"/>
      <c r="F9" s="26"/>
      <c r="G9" s="13">
        <f t="shared" si="0"/>
        <v>1793.1</v>
      </c>
      <c r="H9" s="4"/>
      <c r="I9" s="99"/>
      <c r="J9" s="101"/>
      <c r="K9" s="102"/>
      <c r="L9" s="99"/>
      <c r="M9" s="99"/>
      <c r="N9" s="99"/>
      <c r="O9" s="99"/>
      <c r="P9" s="99"/>
      <c r="Q9" s="94"/>
      <c r="R9" s="94"/>
      <c r="S9" s="103"/>
      <c r="T9" s="94"/>
      <c r="U9" s="94"/>
      <c r="V9" s="94"/>
      <c r="W9" s="94"/>
      <c r="X9" s="94"/>
      <c r="Y9" s="94"/>
      <c r="Z9" s="94"/>
      <c r="AA9" s="106"/>
      <c r="AB9" s="106"/>
      <c r="AC9" s="109"/>
      <c r="AD9" s="103"/>
      <c r="AE9" s="94"/>
      <c r="AF9" s="94"/>
    </row>
    <row r="10" spans="1:32" ht="16.5">
      <c r="A10" s="4">
        <f t="shared" si="1"/>
        <v>7</v>
      </c>
      <c r="B10" s="5" t="s">
        <v>9</v>
      </c>
      <c r="C10" s="2">
        <v>442.71</v>
      </c>
      <c r="D10" s="2">
        <v>90.03</v>
      </c>
      <c r="E10" s="25"/>
      <c r="F10" s="26"/>
      <c r="G10" s="13">
        <f t="shared" si="0"/>
        <v>532.74</v>
      </c>
      <c r="H10" s="4"/>
      <c r="I10" s="99"/>
      <c r="J10" s="99"/>
      <c r="K10" s="99"/>
      <c r="L10" s="99"/>
      <c r="M10" s="99"/>
      <c r="N10" s="99"/>
      <c r="O10" s="99"/>
      <c r="P10" s="99"/>
      <c r="Q10" s="94"/>
      <c r="R10" s="94"/>
      <c r="S10" s="110"/>
      <c r="T10" s="94"/>
      <c r="U10" s="103"/>
      <c r="V10" s="94"/>
      <c r="W10" s="94"/>
      <c r="X10" s="104"/>
      <c r="Y10" s="94"/>
      <c r="Z10" s="94"/>
      <c r="AA10" s="106"/>
      <c r="AB10" s="106"/>
      <c r="AC10" s="111"/>
      <c r="AD10" s="103"/>
      <c r="AE10" s="94"/>
      <c r="AF10" s="94"/>
    </row>
    <row r="11" spans="1:32" ht="16.5">
      <c r="A11" s="4">
        <f t="shared" si="1"/>
        <v>8</v>
      </c>
      <c r="B11" s="5" t="s">
        <v>10</v>
      </c>
      <c r="C11" s="2">
        <v>670.48</v>
      </c>
      <c r="D11" s="2">
        <v>171.89500000000001</v>
      </c>
      <c r="E11" s="25"/>
      <c r="F11" s="26"/>
      <c r="G11" s="13">
        <f t="shared" si="0"/>
        <v>842.375</v>
      </c>
      <c r="H11" s="4"/>
      <c r="I11" s="99"/>
      <c r="J11" s="99"/>
      <c r="K11" s="99"/>
      <c r="L11" s="99"/>
      <c r="M11" s="99"/>
      <c r="N11" s="99"/>
      <c r="O11" s="99"/>
      <c r="P11" s="99"/>
      <c r="Q11" s="94"/>
      <c r="R11" s="94"/>
      <c r="S11" s="103"/>
      <c r="T11" s="94"/>
      <c r="U11" s="94"/>
      <c r="V11" s="94"/>
      <c r="W11" s="94"/>
      <c r="X11" s="94"/>
      <c r="Y11" s="94"/>
      <c r="Z11" s="94"/>
      <c r="AA11" s="106"/>
      <c r="AB11" s="106"/>
      <c r="AC11" s="106"/>
      <c r="AD11" s="103"/>
      <c r="AE11" s="94"/>
      <c r="AF11" s="94"/>
    </row>
    <row r="12" spans="1:32" ht="16.5">
      <c r="A12" s="4">
        <f t="shared" si="1"/>
        <v>9</v>
      </c>
      <c r="B12" s="5" t="s">
        <v>11</v>
      </c>
      <c r="C12" s="2">
        <v>215.08</v>
      </c>
      <c r="D12" s="2">
        <v>134.33000000000001</v>
      </c>
      <c r="E12" s="25"/>
      <c r="F12" s="26"/>
      <c r="G12" s="13">
        <f t="shared" si="0"/>
        <v>349.41</v>
      </c>
      <c r="H12" s="4"/>
      <c r="I12" s="99"/>
      <c r="J12" s="99"/>
      <c r="K12" s="99"/>
      <c r="L12" s="99"/>
      <c r="M12" s="99"/>
      <c r="N12" s="99"/>
      <c r="O12" s="99"/>
      <c r="P12" s="99"/>
      <c r="Q12" s="94"/>
      <c r="R12" s="94"/>
      <c r="S12" s="103"/>
      <c r="T12" s="94"/>
      <c r="U12" s="94"/>
      <c r="V12" s="94"/>
      <c r="W12" s="94"/>
      <c r="X12" s="94"/>
      <c r="Y12" s="94"/>
      <c r="Z12" s="94"/>
      <c r="AA12" s="106"/>
      <c r="AB12" s="106"/>
      <c r="AC12" s="106"/>
      <c r="AD12" s="103"/>
      <c r="AE12" s="94"/>
      <c r="AF12" s="94"/>
    </row>
    <row r="13" spans="1:32" ht="16.5">
      <c r="A13" s="4">
        <f t="shared" si="1"/>
        <v>10</v>
      </c>
      <c r="B13" s="5" t="s">
        <v>12</v>
      </c>
      <c r="C13" s="2">
        <v>1112.1199999999999</v>
      </c>
      <c r="D13" s="2">
        <v>2378.29</v>
      </c>
      <c r="E13" s="25"/>
      <c r="F13" s="26"/>
      <c r="G13" s="13">
        <f t="shared" si="0"/>
        <v>3490.41</v>
      </c>
      <c r="H13" s="4"/>
      <c r="I13" s="99"/>
      <c r="J13" s="101"/>
      <c r="K13" s="102"/>
      <c r="L13" s="99"/>
      <c r="M13" s="99"/>
      <c r="N13" s="99"/>
      <c r="O13" s="99"/>
      <c r="P13" s="99"/>
      <c r="Q13" s="99"/>
      <c r="R13" s="99"/>
      <c r="S13" s="103"/>
      <c r="T13" s="94"/>
      <c r="U13" s="103"/>
      <c r="V13" s="112"/>
      <c r="W13" s="103"/>
      <c r="X13" s="113"/>
      <c r="Y13" s="94"/>
      <c r="Z13" s="94"/>
      <c r="AA13" s="94"/>
      <c r="AB13" s="94"/>
      <c r="AC13" s="114"/>
      <c r="AD13" s="94"/>
      <c r="AE13" s="94"/>
      <c r="AF13" s="94"/>
    </row>
    <row r="14" spans="1:32" ht="16.5">
      <c r="A14" s="4">
        <f t="shared" si="1"/>
        <v>11</v>
      </c>
      <c r="B14" s="5" t="s">
        <v>13</v>
      </c>
      <c r="C14" s="2">
        <v>552.65</v>
      </c>
      <c r="D14" s="2">
        <v>754.42</v>
      </c>
      <c r="E14" s="25"/>
      <c r="F14" s="26"/>
      <c r="G14" s="13">
        <f t="shared" si="0"/>
        <v>1307.07</v>
      </c>
      <c r="H14" s="4"/>
      <c r="I14" s="99"/>
      <c r="J14" s="101"/>
      <c r="K14" s="99"/>
      <c r="L14" s="99"/>
      <c r="M14" s="99"/>
      <c r="N14" s="99"/>
      <c r="O14" s="99"/>
      <c r="P14" s="99"/>
      <c r="Q14" s="99"/>
      <c r="R14" s="99"/>
      <c r="S14" s="103"/>
      <c r="T14" s="94"/>
      <c r="U14" s="103"/>
      <c r="V14" s="112"/>
      <c r="W14" s="103"/>
      <c r="X14" s="94"/>
      <c r="Y14" s="94"/>
      <c r="Z14" s="94"/>
      <c r="AA14" s="106"/>
      <c r="AB14" s="106"/>
      <c r="AC14" s="114"/>
      <c r="AD14" s="94"/>
      <c r="AE14" s="94"/>
      <c r="AF14" s="94"/>
    </row>
    <row r="15" spans="1:32" ht="16.5">
      <c r="A15" s="4">
        <f t="shared" si="1"/>
        <v>12</v>
      </c>
      <c r="B15" s="5" t="s">
        <v>14</v>
      </c>
      <c r="C15" s="2">
        <v>457.24</v>
      </c>
      <c r="D15" s="2">
        <v>194.84</v>
      </c>
      <c r="E15" s="25"/>
      <c r="F15" s="26"/>
      <c r="G15" s="13">
        <f t="shared" si="0"/>
        <v>652.08000000000004</v>
      </c>
      <c r="H15" s="4"/>
      <c r="I15" s="99"/>
      <c r="J15" s="105"/>
      <c r="K15" s="99"/>
      <c r="L15" s="99"/>
      <c r="M15" s="99"/>
      <c r="N15" s="99"/>
      <c r="O15" s="99"/>
      <c r="P15" s="99"/>
      <c r="Q15" s="94"/>
      <c r="R15" s="94"/>
      <c r="S15" s="103"/>
      <c r="T15" s="99"/>
      <c r="U15" s="103"/>
      <c r="V15" s="112"/>
      <c r="W15" s="103"/>
      <c r="X15" s="99"/>
      <c r="Y15" s="94"/>
      <c r="Z15" s="94"/>
      <c r="AA15" s="106"/>
      <c r="AB15" s="106"/>
      <c r="AC15" s="114"/>
      <c r="AD15" s="94"/>
      <c r="AE15" s="94"/>
      <c r="AF15" s="94"/>
    </row>
    <row r="16" spans="1:32" ht="16.5">
      <c r="A16" s="4">
        <f t="shared" si="1"/>
        <v>13</v>
      </c>
      <c r="B16" s="5" t="s">
        <v>15</v>
      </c>
      <c r="C16" s="2">
        <v>24.49</v>
      </c>
      <c r="D16" s="2">
        <v>236.74</v>
      </c>
      <c r="E16" s="25"/>
      <c r="F16" s="26"/>
      <c r="G16" s="13">
        <f t="shared" si="0"/>
        <v>261.23</v>
      </c>
      <c r="H16" s="4"/>
      <c r="I16" s="99"/>
      <c r="J16" s="101"/>
      <c r="K16" s="102"/>
      <c r="L16" s="102"/>
      <c r="M16" s="102"/>
      <c r="N16" s="102"/>
      <c r="O16" s="102"/>
      <c r="P16" s="99"/>
      <c r="Q16" s="99"/>
      <c r="R16" s="99"/>
      <c r="S16" s="103"/>
      <c r="T16" s="99"/>
      <c r="U16" s="103"/>
      <c r="V16" s="112"/>
      <c r="W16" s="103"/>
      <c r="X16" s="104"/>
      <c r="Y16" s="94"/>
      <c r="Z16" s="94"/>
      <c r="AA16" s="106"/>
      <c r="AB16" s="106"/>
      <c r="AC16" s="114"/>
      <c r="AD16" s="94"/>
      <c r="AE16" s="94"/>
      <c r="AF16" s="94"/>
    </row>
    <row r="17" spans="1:32" ht="16.5">
      <c r="A17" s="4">
        <f t="shared" si="1"/>
        <v>14</v>
      </c>
      <c r="B17" s="5" t="s">
        <v>16</v>
      </c>
      <c r="C17" s="2">
        <v>52.29</v>
      </c>
      <c r="D17" s="2">
        <v>0</v>
      </c>
      <c r="E17" s="25"/>
      <c r="F17" s="26"/>
      <c r="G17" s="13">
        <f t="shared" si="0"/>
        <v>52.29</v>
      </c>
      <c r="H17" s="4"/>
      <c r="I17" s="99"/>
      <c r="J17" s="101"/>
      <c r="K17" s="99"/>
      <c r="L17" s="99"/>
      <c r="M17" s="99"/>
      <c r="N17" s="99"/>
      <c r="O17" s="99"/>
      <c r="P17" s="99"/>
      <c r="Q17" s="94"/>
      <c r="R17" s="94"/>
      <c r="S17" s="103"/>
      <c r="T17" s="99"/>
      <c r="U17" s="103"/>
      <c r="V17" s="112"/>
      <c r="W17" s="103"/>
      <c r="X17" s="99"/>
      <c r="Y17" s="94"/>
      <c r="Z17" s="94"/>
      <c r="AA17" s="106"/>
      <c r="AB17" s="106"/>
      <c r="AC17" s="94"/>
      <c r="AD17" s="94"/>
      <c r="AE17" s="94"/>
      <c r="AF17" s="94"/>
    </row>
    <row r="18" spans="1:32" ht="16.5">
      <c r="A18" s="4">
        <f t="shared" si="1"/>
        <v>15</v>
      </c>
      <c r="B18" s="5" t="s">
        <v>17</v>
      </c>
      <c r="C18" s="2">
        <v>1128.96</v>
      </c>
      <c r="D18" s="2">
        <v>224.24</v>
      </c>
      <c r="E18" s="25"/>
      <c r="F18" s="26"/>
      <c r="G18" s="13">
        <f t="shared" si="0"/>
        <v>1353.2</v>
      </c>
      <c r="H18" s="4"/>
      <c r="I18" s="99"/>
      <c r="J18" s="101"/>
      <c r="K18" s="102"/>
      <c r="L18" s="99"/>
      <c r="M18" s="99"/>
      <c r="N18" s="99"/>
      <c r="O18" s="99"/>
      <c r="P18" s="102"/>
      <c r="Q18" s="99"/>
      <c r="R18" s="99"/>
      <c r="S18" s="103"/>
      <c r="T18" s="99"/>
      <c r="U18" s="103"/>
      <c r="V18" s="112"/>
      <c r="W18" s="103"/>
      <c r="X18" s="99"/>
      <c r="Y18" s="94"/>
      <c r="Z18" s="94"/>
      <c r="AA18" s="106"/>
      <c r="AB18" s="106"/>
      <c r="AC18" s="94"/>
      <c r="AD18" s="94"/>
      <c r="AE18" s="94"/>
      <c r="AF18" s="94"/>
    </row>
    <row r="19" spans="1:32" ht="16.5">
      <c r="A19" s="4">
        <f t="shared" si="1"/>
        <v>16</v>
      </c>
      <c r="B19" s="5" t="s">
        <v>18</v>
      </c>
      <c r="C19" s="2">
        <v>126.13</v>
      </c>
      <c r="D19" s="2">
        <v>37.61</v>
      </c>
      <c r="E19" s="25"/>
      <c r="F19" s="26"/>
      <c r="G19" s="13">
        <f t="shared" si="0"/>
        <v>163.74</v>
      </c>
      <c r="H19" s="4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110"/>
      <c r="T19" s="99"/>
      <c r="U19" s="99"/>
      <c r="V19" s="99"/>
      <c r="W19" s="99"/>
      <c r="X19" s="104"/>
      <c r="Y19" s="94"/>
      <c r="Z19" s="94"/>
      <c r="AA19" s="106"/>
      <c r="AB19" s="106"/>
      <c r="AC19" s="94"/>
      <c r="AD19" s="94"/>
      <c r="AE19" s="94"/>
      <c r="AF19" s="94"/>
    </row>
    <row r="20" spans="1:32" ht="16.5">
      <c r="A20" s="4">
        <f t="shared" si="1"/>
        <v>17</v>
      </c>
      <c r="B20" s="5" t="s">
        <v>19</v>
      </c>
      <c r="C20" s="2"/>
      <c r="D20" s="2"/>
      <c r="E20" s="25"/>
      <c r="F20" s="26"/>
      <c r="G20" s="13">
        <f t="shared" si="0"/>
        <v>0</v>
      </c>
      <c r="H20" s="4"/>
      <c r="I20" s="99"/>
      <c r="J20" s="115"/>
      <c r="K20" s="99"/>
      <c r="L20" s="99"/>
      <c r="M20" s="99"/>
      <c r="N20" s="99"/>
      <c r="O20" s="99"/>
      <c r="P20" s="99"/>
      <c r="Q20" s="99"/>
      <c r="R20" s="99"/>
      <c r="S20" s="103"/>
      <c r="T20" s="99"/>
      <c r="U20" s="99"/>
      <c r="V20" s="99"/>
      <c r="W20" s="99"/>
      <c r="X20" s="99"/>
      <c r="Y20" s="94"/>
      <c r="Z20" s="94"/>
      <c r="AA20" s="116"/>
      <c r="AB20" s="116"/>
      <c r="AC20" s="94"/>
      <c r="AD20" s="94"/>
      <c r="AE20" s="94"/>
      <c r="AF20" s="94"/>
    </row>
    <row r="21" spans="1:32" ht="16.5">
      <c r="A21" s="4">
        <f t="shared" si="1"/>
        <v>18</v>
      </c>
      <c r="B21" s="5" t="s">
        <v>20</v>
      </c>
      <c r="C21" s="2">
        <v>0</v>
      </c>
      <c r="D21" s="2">
        <v>0</v>
      </c>
      <c r="E21" s="25"/>
      <c r="F21" s="26"/>
      <c r="G21" s="13">
        <f t="shared" si="0"/>
        <v>0</v>
      </c>
      <c r="H21" s="4"/>
      <c r="I21" s="99"/>
      <c r="J21" s="115"/>
      <c r="K21" s="99"/>
      <c r="L21" s="99"/>
      <c r="M21" s="99"/>
      <c r="N21" s="99"/>
      <c r="O21" s="99"/>
      <c r="P21" s="99"/>
      <c r="Q21" s="99"/>
      <c r="R21" s="99"/>
      <c r="S21" s="103"/>
      <c r="T21" s="99"/>
      <c r="U21" s="99"/>
      <c r="V21" s="99"/>
      <c r="W21" s="99"/>
      <c r="X21" s="99"/>
      <c r="Y21" s="94"/>
      <c r="Z21" s="94"/>
      <c r="AA21" s="116"/>
      <c r="AB21" s="116"/>
      <c r="AC21" s="94"/>
      <c r="AD21" s="94"/>
      <c r="AE21" s="94"/>
      <c r="AF21" s="94"/>
    </row>
    <row r="22" spans="1:32" ht="16.5">
      <c r="A22" s="4">
        <f t="shared" si="1"/>
        <v>19</v>
      </c>
      <c r="B22" s="5" t="s">
        <v>21</v>
      </c>
      <c r="C22" s="2">
        <v>289.02999999999997</v>
      </c>
      <c r="D22" s="2">
        <v>97.33</v>
      </c>
      <c r="E22" s="25"/>
      <c r="F22" s="26"/>
      <c r="G22" s="13">
        <f t="shared" si="0"/>
        <v>386.36</v>
      </c>
      <c r="H22" s="4"/>
      <c r="I22" s="99"/>
      <c r="J22" s="115"/>
      <c r="K22" s="99"/>
      <c r="L22" s="99"/>
      <c r="M22" s="99"/>
      <c r="N22" s="99"/>
      <c r="O22" s="99"/>
      <c r="P22" s="99"/>
      <c r="Q22" s="99"/>
      <c r="R22" s="99"/>
      <c r="S22" s="103"/>
      <c r="T22" s="99"/>
      <c r="U22" s="99"/>
      <c r="V22" s="106"/>
      <c r="W22" s="106"/>
      <c r="X22" s="117"/>
      <c r="Y22" s="94"/>
      <c r="Z22" s="94"/>
      <c r="AA22" s="116"/>
      <c r="AB22" s="116"/>
      <c r="AC22" s="94"/>
      <c r="AD22" s="94"/>
      <c r="AE22" s="94"/>
      <c r="AF22" s="94"/>
    </row>
    <row r="23" spans="1:32" ht="16.5">
      <c r="A23" s="4">
        <f t="shared" si="1"/>
        <v>20</v>
      </c>
      <c r="B23" s="5" t="s">
        <v>22</v>
      </c>
      <c r="C23" s="2">
        <v>382.39</v>
      </c>
      <c r="D23" s="2">
        <v>81.02</v>
      </c>
      <c r="E23" s="25"/>
      <c r="F23" s="26"/>
      <c r="G23" s="13">
        <f t="shared" si="0"/>
        <v>463.41</v>
      </c>
      <c r="H23" s="4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106"/>
      <c r="W23" s="106"/>
      <c r="X23" s="117"/>
      <c r="Y23" s="94"/>
      <c r="Z23" s="94"/>
      <c r="AA23" s="116"/>
      <c r="AB23" s="116"/>
      <c r="AC23" s="94"/>
      <c r="AD23" s="94"/>
      <c r="AE23" s="94"/>
      <c r="AF23" s="94"/>
    </row>
    <row r="24" spans="1:32" ht="16.5">
      <c r="A24" s="4">
        <f t="shared" si="1"/>
        <v>21</v>
      </c>
      <c r="B24" s="5" t="s">
        <v>23</v>
      </c>
      <c r="C24" s="2">
        <v>512.71</v>
      </c>
      <c r="D24" s="2">
        <v>109.93</v>
      </c>
      <c r="E24" s="25"/>
      <c r="F24" s="26"/>
      <c r="G24" s="13">
        <f t="shared" si="0"/>
        <v>622.64</v>
      </c>
      <c r="H24" s="4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118"/>
      <c r="T24" s="119"/>
      <c r="U24" s="99"/>
      <c r="V24" s="106"/>
      <c r="W24" s="106"/>
      <c r="X24" s="117"/>
      <c r="Y24" s="94"/>
      <c r="Z24" s="94"/>
      <c r="AA24" s="94"/>
      <c r="AB24" s="94"/>
      <c r="AC24" s="94"/>
      <c r="AD24" s="94"/>
      <c r="AE24" s="94"/>
      <c r="AF24" s="94"/>
    </row>
    <row r="25" spans="1:32" ht="16.5">
      <c r="A25" s="4">
        <f t="shared" si="1"/>
        <v>22</v>
      </c>
      <c r="B25" s="5" t="s">
        <v>24</v>
      </c>
      <c r="C25" s="2">
        <v>1544.4</v>
      </c>
      <c r="D25" s="2">
        <v>555.53</v>
      </c>
      <c r="E25" s="25"/>
      <c r="F25" s="26"/>
      <c r="G25" s="13">
        <f t="shared" si="0"/>
        <v>2099.9299999999998</v>
      </c>
      <c r="H25" s="4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118"/>
      <c r="T25" s="119"/>
      <c r="U25" s="99"/>
      <c r="V25" s="106"/>
      <c r="W25" s="106"/>
      <c r="X25" s="117"/>
      <c r="Y25" s="94"/>
      <c r="Z25" s="94"/>
      <c r="AA25" s="120"/>
      <c r="AB25" s="120"/>
      <c r="AC25" s="103"/>
      <c r="AD25" s="94"/>
      <c r="AE25" s="94"/>
      <c r="AF25" s="94"/>
    </row>
    <row r="26" spans="1:32" ht="16.5">
      <c r="A26" s="4">
        <f t="shared" si="1"/>
        <v>23</v>
      </c>
      <c r="B26" s="5" t="s">
        <v>25</v>
      </c>
      <c r="C26" s="2">
        <v>173.51</v>
      </c>
      <c r="D26" s="2">
        <v>293.73</v>
      </c>
      <c r="E26" s="25"/>
      <c r="F26" s="26"/>
      <c r="G26" s="13">
        <f t="shared" si="0"/>
        <v>467.24</v>
      </c>
      <c r="H26" s="4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118"/>
      <c r="T26" s="119"/>
      <c r="U26" s="99"/>
      <c r="V26" s="106"/>
      <c r="W26" s="106"/>
      <c r="X26" s="117"/>
      <c r="Y26" s="94"/>
      <c r="Z26" s="94"/>
      <c r="AA26" s="121"/>
      <c r="AB26" s="121"/>
      <c r="AC26" s="103"/>
      <c r="AD26" s="94"/>
      <c r="AE26" s="94"/>
      <c r="AF26" s="94"/>
    </row>
    <row r="27" spans="1:32" ht="16.5">
      <c r="A27" s="4">
        <f t="shared" si="1"/>
        <v>24</v>
      </c>
      <c r="B27" s="5" t="s">
        <v>26</v>
      </c>
      <c r="C27" s="2">
        <v>1208.8699999999999</v>
      </c>
      <c r="D27" s="2">
        <v>1191.8699999999999</v>
      </c>
      <c r="E27" s="25"/>
      <c r="F27" s="26"/>
      <c r="G27" s="13">
        <f t="shared" si="0"/>
        <v>2400.7399999999998</v>
      </c>
      <c r="H27" s="4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118"/>
      <c r="T27" s="119"/>
      <c r="U27" s="99"/>
      <c r="V27" s="106"/>
      <c r="W27" s="106"/>
      <c r="X27" s="117"/>
      <c r="Y27" s="94"/>
      <c r="Z27" s="94"/>
      <c r="AA27" s="94"/>
      <c r="AB27" s="94"/>
      <c r="AC27" s="94"/>
      <c r="AD27" s="94"/>
      <c r="AE27" s="94"/>
      <c r="AF27" s="94"/>
    </row>
    <row r="28" spans="1:32" ht="16.5">
      <c r="A28" s="4">
        <f t="shared" si="1"/>
        <v>25</v>
      </c>
      <c r="B28" s="5" t="s">
        <v>27</v>
      </c>
      <c r="C28" s="2"/>
      <c r="D28" s="2"/>
      <c r="E28" s="25"/>
      <c r="F28" s="26"/>
      <c r="G28" s="13">
        <f t="shared" si="0"/>
        <v>0</v>
      </c>
      <c r="H28" s="4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118"/>
      <c r="T28" s="119"/>
      <c r="U28" s="99"/>
      <c r="V28" s="117"/>
      <c r="W28" s="99"/>
      <c r="X28" s="117"/>
      <c r="Y28" s="94"/>
      <c r="Z28" s="94"/>
      <c r="AA28" s="107"/>
      <c r="AB28" s="107"/>
      <c r="AC28" s="103"/>
      <c r="AD28" s="94"/>
      <c r="AE28" s="94"/>
      <c r="AF28" s="94"/>
    </row>
    <row r="29" spans="1:32" ht="16.5">
      <c r="A29" s="4">
        <f t="shared" si="1"/>
        <v>26</v>
      </c>
      <c r="B29" s="5" t="s">
        <v>28</v>
      </c>
      <c r="C29" s="2">
        <v>219.74</v>
      </c>
      <c r="D29" s="2">
        <v>126.94</v>
      </c>
      <c r="E29" s="25"/>
      <c r="F29" s="26"/>
      <c r="G29" s="13">
        <f t="shared" si="0"/>
        <v>346.68</v>
      </c>
      <c r="H29" s="4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117"/>
      <c r="W29" s="99"/>
      <c r="X29" s="99"/>
      <c r="Y29" s="94"/>
      <c r="Z29" s="94"/>
      <c r="AA29" s="94"/>
      <c r="AB29" s="94"/>
      <c r="AC29" s="94"/>
      <c r="AD29" s="94"/>
      <c r="AE29" s="94"/>
      <c r="AF29" s="94"/>
    </row>
    <row r="30" spans="1:32" ht="16.5">
      <c r="A30" s="4">
        <f t="shared" si="1"/>
        <v>27</v>
      </c>
      <c r="B30" s="5" t="s">
        <v>29</v>
      </c>
      <c r="C30" s="2">
        <v>1017.9</v>
      </c>
      <c r="D30" s="2">
        <v>122.26</v>
      </c>
      <c r="E30" s="25"/>
      <c r="F30" s="26"/>
      <c r="G30" s="13">
        <f t="shared" si="0"/>
        <v>1140.1600000000001</v>
      </c>
      <c r="H30" s="4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4"/>
      <c r="Z30" s="94"/>
      <c r="AA30" s="94"/>
      <c r="AB30" s="94"/>
      <c r="AC30" s="94"/>
      <c r="AD30" s="94"/>
      <c r="AE30" s="94"/>
      <c r="AF30" s="94"/>
    </row>
    <row r="31" spans="1:32" ht="16.5">
      <c r="A31" s="4">
        <f t="shared" si="1"/>
        <v>28</v>
      </c>
      <c r="B31" s="5" t="s">
        <v>30</v>
      </c>
      <c r="C31" s="2">
        <v>0</v>
      </c>
      <c r="D31" s="2">
        <v>0</v>
      </c>
      <c r="E31" s="25"/>
      <c r="F31" s="26"/>
      <c r="G31" s="13">
        <f t="shared" si="0"/>
        <v>0</v>
      </c>
      <c r="H31" s="4"/>
      <c r="I31" s="99"/>
      <c r="J31" s="122"/>
      <c r="K31" s="123"/>
      <c r="L31" s="123"/>
      <c r="M31" s="123"/>
      <c r="N31" s="123"/>
      <c r="O31" s="123"/>
      <c r="P31" s="123"/>
      <c r="Q31" s="123"/>
      <c r="R31" s="99"/>
      <c r="S31" s="94"/>
      <c r="T31" s="99"/>
      <c r="U31" s="99"/>
      <c r="V31" s="99"/>
      <c r="W31" s="99"/>
      <c r="X31" s="99"/>
      <c r="Y31" s="94"/>
      <c r="Z31" s="94"/>
      <c r="AA31" s="94"/>
      <c r="AB31" s="94"/>
      <c r="AC31" s="94"/>
      <c r="AD31" s="94"/>
      <c r="AE31" s="94"/>
      <c r="AF31" s="94"/>
    </row>
    <row r="32" spans="1:32" ht="16.5">
      <c r="A32" s="4">
        <f t="shared" si="1"/>
        <v>29</v>
      </c>
      <c r="B32" s="5" t="s">
        <v>31</v>
      </c>
      <c r="C32" s="2"/>
      <c r="D32" s="2"/>
      <c r="E32" s="25"/>
      <c r="F32" s="26"/>
      <c r="G32" s="13">
        <f t="shared" si="0"/>
        <v>0</v>
      </c>
      <c r="H32" s="4"/>
      <c r="I32" s="99"/>
      <c r="J32" s="105"/>
      <c r="K32" s="99"/>
      <c r="L32" s="102"/>
      <c r="M32" s="102"/>
      <c r="N32" s="99"/>
      <c r="O32" s="102"/>
      <c r="P32" s="99"/>
      <c r="Q32" s="102"/>
      <c r="R32" s="99"/>
      <c r="S32" s="103"/>
      <c r="T32" s="99"/>
      <c r="U32" s="99"/>
      <c r="V32" s="124"/>
      <c r="W32" s="124"/>
      <c r="X32" s="117"/>
      <c r="Y32" s="94"/>
      <c r="Z32" s="94"/>
      <c r="AA32" s="106"/>
      <c r="AB32" s="125"/>
      <c r="AC32" s="103"/>
      <c r="AD32" s="94"/>
      <c r="AE32" s="106"/>
      <c r="AF32" s="94"/>
    </row>
    <row r="33" spans="1:32" ht="16.5">
      <c r="A33" s="4">
        <f t="shared" si="1"/>
        <v>30</v>
      </c>
      <c r="B33" s="5" t="s">
        <v>32</v>
      </c>
      <c r="C33" s="2"/>
      <c r="D33" s="2"/>
      <c r="E33" s="25"/>
      <c r="F33" s="26"/>
      <c r="G33" s="13">
        <f t="shared" si="0"/>
        <v>0</v>
      </c>
      <c r="H33" s="4"/>
      <c r="I33" s="99"/>
      <c r="J33" s="101"/>
      <c r="K33" s="102"/>
      <c r="L33" s="102"/>
      <c r="M33" s="126"/>
      <c r="N33" s="102"/>
      <c r="O33" s="99"/>
      <c r="P33" s="102"/>
      <c r="Q33" s="102"/>
      <c r="R33" s="99"/>
      <c r="S33" s="103"/>
      <c r="T33" s="99"/>
      <c r="U33" s="99"/>
      <c r="V33" s="124"/>
      <c r="W33" s="124"/>
      <c r="X33" s="117"/>
      <c r="Y33" s="94"/>
      <c r="Z33" s="94"/>
      <c r="AA33" s="106"/>
      <c r="AB33" s="125"/>
      <c r="AC33" s="103"/>
      <c r="AD33" s="94"/>
      <c r="AE33" s="106"/>
      <c r="AF33" s="94"/>
    </row>
    <row r="34" spans="1:32" ht="16.5">
      <c r="A34" s="4">
        <f t="shared" si="1"/>
        <v>31</v>
      </c>
      <c r="B34" s="5" t="s">
        <v>33</v>
      </c>
      <c r="C34" s="2">
        <v>396.83</v>
      </c>
      <c r="D34" s="2">
        <v>338.08</v>
      </c>
      <c r="E34" s="25"/>
      <c r="F34" s="26"/>
      <c r="G34" s="13">
        <f t="shared" si="0"/>
        <v>734.91</v>
      </c>
      <c r="H34" s="4"/>
      <c r="I34" s="99"/>
      <c r="J34" s="101"/>
      <c r="K34" s="102"/>
      <c r="L34" s="102"/>
      <c r="M34" s="102"/>
      <c r="N34" s="102"/>
      <c r="O34" s="102"/>
      <c r="P34" s="102"/>
      <c r="Q34" s="99"/>
      <c r="R34" s="99"/>
      <c r="S34" s="103"/>
      <c r="T34" s="99"/>
      <c r="U34" s="99"/>
      <c r="V34" s="124"/>
      <c r="W34" s="124"/>
      <c r="X34" s="117"/>
      <c r="Y34" s="94"/>
      <c r="Z34" s="94"/>
      <c r="AA34" s="106"/>
      <c r="AB34" s="125"/>
      <c r="AC34" s="103"/>
      <c r="AD34" s="94"/>
      <c r="AE34" s="106"/>
      <c r="AF34" s="94"/>
    </row>
    <row r="35" spans="1:32" ht="16.5">
      <c r="A35" s="4">
        <f t="shared" si="1"/>
        <v>32</v>
      </c>
      <c r="B35" s="5" t="s">
        <v>34</v>
      </c>
      <c r="C35" s="2"/>
      <c r="D35" s="2"/>
      <c r="E35" s="25"/>
      <c r="F35" s="26"/>
      <c r="G35" s="13">
        <f t="shared" si="0"/>
        <v>0</v>
      </c>
      <c r="H35" s="4"/>
      <c r="I35" s="99"/>
      <c r="J35" s="101"/>
      <c r="K35" s="102"/>
      <c r="L35" s="99"/>
      <c r="M35" s="99"/>
      <c r="N35" s="99"/>
      <c r="O35" s="99"/>
      <c r="P35" s="99"/>
      <c r="Q35" s="94"/>
      <c r="R35" s="99"/>
      <c r="S35" s="103"/>
      <c r="T35" s="99"/>
      <c r="U35" s="99"/>
      <c r="V35" s="124"/>
      <c r="W35" s="124"/>
      <c r="X35" s="117"/>
      <c r="Y35" s="94"/>
      <c r="Z35" s="94"/>
      <c r="AA35" s="106"/>
      <c r="AB35" s="125"/>
      <c r="AC35" s="103"/>
      <c r="AD35" s="94"/>
      <c r="AE35" s="106"/>
      <c r="AF35" s="94"/>
    </row>
    <row r="36" spans="1:32" ht="16.5">
      <c r="A36" s="4">
        <f t="shared" si="1"/>
        <v>33</v>
      </c>
      <c r="B36" s="5" t="s">
        <v>35</v>
      </c>
      <c r="C36" s="2">
        <v>578.41</v>
      </c>
      <c r="D36" s="2">
        <v>98.981999999999999</v>
      </c>
      <c r="E36" s="25"/>
      <c r="F36" s="26"/>
      <c r="G36" s="13">
        <f t="shared" ref="G36:G67" si="2">C36+D36</f>
        <v>677.39200000000005</v>
      </c>
      <c r="H36" s="4"/>
      <c r="I36" s="99"/>
      <c r="J36" s="101"/>
      <c r="K36" s="102"/>
      <c r="L36" s="102"/>
      <c r="M36" s="102"/>
      <c r="N36" s="102"/>
      <c r="O36" s="99"/>
      <c r="P36" s="102"/>
      <c r="Q36" s="99"/>
      <c r="R36" s="99"/>
      <c r="S36" s="103"/>
      <c r="T36" s="99"/>
      <c r="U36" s="99"/>
      <c r="V36" s="124"/>
      <c r="W36" s="124"/>
      <c r="X36" s="117"/>
      <c r="Y36" s="94"/>
      <c r="Z36" s="94"/>
      <c r="AA36" s="106"/>
      <c r="AB36" s="125"/>
      <c r="AC36" s="103"/>
      <c r="AD36" s="94"/>
      <c r="AE36" s="106"/>
      <c r="AF36" s="94"/>
    </row>
    <row r="37" spans="1:32" ht="16.5">
      <c r="A37" s="4">
        <f t="shared" si="1"/>
        <v>34</v>
      </c>
      <c r="B37" s="5" t="s">
        <v>36</v>
      </c>
      <c r="C37" s="2">
        <v>1331.35</v>
      </c>
      <c r="D37" s="2">
        <v>559.73</v>
      </c>
      <c r="E37" s="25"/>
      <c r="F37" s="26"/>
      <c r="G37" s="13">
        <f t="shared" si="2"/>
        <v>1891.08</v>
      </c>
      <c r="H37" s="4"/>
      <c r="I37" s="127"/>
      <c r="J37" s="101"/>
      <c r="K37" s="102"/>
      <c r="L37" s="99"/>
      <c r="M37" s="102"/>
      <c r="N37" s="99"/>
      <c r="O37" s="99"/>
      <c r="P37" s="102"/>
      <c r="Q37" s="99"/>
      <c r="R37" s="99"/>
      <c r="S37" s="103"/>
      <c r="T37" s="99"/>
      <c r="U37" s="99"/>
      <c r="V37" s="124"/>
      <c r="W37" s="124"/>
      <c r="X37" s="117"/>
      <c r="Y37" s="94"/>
      <c r="Z37" s="94"/>
      <c r="AA37" s="106"/>
      <c r="AB37" s="125"/>
      <c r="AC37" s="103"/>
      <c r="AD37" s="94"/>
      <c r="AE37" s="106"/>
      <c r="AF37" s="94"/>
    </row>
    <row r="38" spans="1:32" ht="16.5">
      <c r="A38" s="4">
        <f t="shared" ref="A38:A69" si="3">1+A37</f>
        <v>35</v>
      </c>
      <c r="B38" s="5" t="s">
        <v>37</v>
      </c>
      <c r="C38" s="2">
        <v>230</v>
      </c>
      <c r="D38" s="2">
        <v>394.08</v>
      </c>
      <c r="E38" s="25"/>
      <c r="F38" s="26"/>
      <c r="G38" s="13">
        <f t="shared" si="2"/>
        <v>624.08000000000004</v>
      </c>
      <c r="H38" s="4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110"/>
      <c r="T38" s="99"/>
      <c r="U38" s="99"/>
      <c r="V38" s="124"/>
      <c r="W38" s="124"/>
      <c r="X38" s="117"/>
      <c r="Y38" s="94"/>
      <c r="Z38" s="94"/>
      <c r="AA38" s="106"/>
      <c r="AB38" s="125"/>
      <c r="AC38" s="103"/>
      <c r="AD38" s="94"/>
      <c r="AE38" s="106"/>
      <c r="AF38" s="94"/>
    </row>
    <row r="39" spans="1:32" ht="16.5">
      <c r="A39" s="4">
        <f t="shared" si="3"/>
        <v>36</v>
      </c>
      <c r="B39" s="5" t="s">
        <v>38</v>
      </c>
      <c r="C39" s="2">
        <v>481.53</v>
      </c>
      <c r="D39" s="2">
        <v>270.36</v>
      </c>
      <c r="E39" s="25"/>
      <c r="F39" s="26"/>
      <c r="G39" s="13">
        <f t="shared" si="2"/>
        <v>751.89</v>
      </c>
      <c r="H39" s="4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103"/>
      <c r="T39" s="99"/>
      <c r="U39" s="99"/>
      <c r="V39" s="124"/>
      <c r="W39" s="124"/>
      <c r="X39" s="117"/>
      <c r="Y39" s="94"/>
      <c r="Z39" s="94"/>
      <c r="AA39" s="106"/>
      <c r="AB39" s="125"/>
      <c r="AC39" s="103"/>
      <c r="AD39" s="94"/>
      <c r="AE39" s="106"/>
      <c r="AF39" s="94"/>
    </row>
    <row r="40" spans="1:32" ht="16.5">
      <c r="A40" s="4">
        <f t="shared" si="3"/>
        <v>37</v>
      </c>
      <c r="B40" s="5" t="s">
        <v>39</v>
      </c>
      <c r="C40" s="2">
        <v>326.79000000000002</v>
      </c>
      <c r="D40" s="2">
        <v>499.71</v>
      </c>
      <c r="E40" s="25"/>
      <c r="F40" s="26"/>
      <c r="G40" s="13">
        <f t="shared" si="2"/>
        <v>826.5</v>
      </c>
      <c r="H40" s="4"/>
      <c r="I40" s="99"/>
      <c r="J40" s="122"/>
      <c r="K40" s="99"/>
      <c r="L40" s="99"/>
      <c r="M40" s="99"/>
      <c r="N40" s="99"/>
      <c r="O40" s="99"/>
      <c r="P40" s="99"/>
      <c r="Q40" s="99"/>
      <c r="R40" s="99"/>
      <c r="S40" s="103"/>
      <c r="T40" s="99"/>
      <c r="U40" s="99"/>
      <c r="V40" s="128"/>
      <c r="W40" s="128"/>
      <c r="X40" s="117"/>
      <c r="Y40" s="94"/>
      <c r="Z40" s="94"/>
      <c r="AA40" s="121"/>
      <c r="AB40" s="94"/>
      <c r="AC40" s="94"/>
      <c r="AD40" s="94"/>
      <c r="AE40" s="94"/>
      <c r="AF40" s="94"/>
    </row>
    <row r="41" spans="1:32" ht="16.5">
      <c r="A41" s="4">
        <f t="shared" si="3"/>
        <v>38</v>
      </c>
      <c r="B41" s="5" t="s">
        <v>40</v>
      </c>
      <c r="C41" s="2">
        <v>800.39</v>
      </c>
      <c r="D41" s="2">
        <v>329.93</v>
      </c>
      <c r="E41" s="25"/>
      <c r="F41" s="26"/>
      <c r="G41" s="13">
        <f t="shared" si="2"/>
        <v>1130.32</v>
      </c>
      <c r="H41" s="4"/>
      <c r="I41" s="99"/>
      <c r="J41" s="105"/>
      <c r="K41" s="99"/>
      <c r="L41" s="99"/>
      <c r="M41" s="99"/>
      <c r="N41" s="99"/>
      <c r="O41" s="102"/>
      <c r="P41" s="99"/>
      <c r="Q41" s="99"/>
      <c r="R41" s="99"/>
      <c r="S41" s="103"/>
      <c r="T41" s="99"/>
      <c r="U41" s="103"/>
      <c r="V41" s="99"/>
      <c r="W41" s="99"/>
      <c r="X41" s="99"/>
      <c r="Y41" s="94"/>
      <c r="Z41" s="94"/>
      <c r="AA41" s="94"/>
      <c r="AB41" s="94"/>
      <c r="AC41" s="94"/>
      <c r="AD41" s="94"/>
      <c r="AE41" s="94"/>
      <c r="AF41" s="94"/>
    </row>
    <row r="42" spans="1:32" ht="16.5">
      <c r="A42" s="4">
        <f t="shared" si="3"/>
        <v>39</v>
      </c>
      <c r="B42" s="5" t="s">
        <v>41</v>
      </c>
      <c r="C42" s="2">
        <v>5002.09</v>
      </c>
      <c r="D42" s="2">
        <v>4469.09</v>
      </c>
      <c r="E42" s="25"/>
      <c r="F42" s="26"/>
      <c r="G42" s="13">
        <f t="shared" si="2"/>
        <v>9471.18</v>
      </c>
      <c r="H42" s="4"/>
      <c r="I42" s="99"/>
      <c r="J42" s="101"/>
      <c r="K42" s="99"/>
      <c r="L42" s="99"/>
      <c r="M42" s="102"/>
      <c r="N42" s="99"/>
      <c r="O42" s="99"/>
      <c r="P42" s="99"/>
      <c r="Q42" s="99"/>
      <c r="R42" s="99"/>
      <c r="S42" s="103"/>
      <c r="T42" s="99"/>
      <c r="U42" s="103"/>
      <c r="V42" s="99"/>
      <c r="W42" s="129"/>
      <c r="X42" s="99"/>
      <c r="Y42" s="94"/>
      <c r="Z42" s="94"/>
      <c r="AA42" s="94"/>
      <c r="AB42" s="94"/>
      <c r="AC42" s="94"/>
      <c r="AD42" s="94"/>
      <c r="AE42" s="94"/>
      <c r="AF42" s="94"/>
    </row>
    <row r="43" spans="1:32" ht="16.5">
      <c r="A43" s="4">
        <f t="shared" si="3"/>
        <v>40</v>
      </c>
      <c r="B43" s="5" t="s">
        <v>42</v>
      </c>
      <c r="C43" s="2">
        <v>0</v>
      </c>
      <c r="D43" s="2">
        <v>0</v>
      </c>
      <c r="E43" s="25"/>
      <c r="F43" s="26"/>
      <c r="G43" s="13">
        <f t="shared" si="2"/>
        <v>0</v>
      </c>
      <c r="H43" s="4"/>
      <c r="I43" s="99"/>
      <c r="J43" s="101"/>
      <c r="K43" s="99"/>
      <c r="L43" s="99"/>
      <c r="M43" s="99"/>
      <c r="N43" s="99"/>
      <c r="O43" s="99"/>
      <c r="P43" s="99"/>
      <c r="Q43" s="99"/>
      <c r="R43" s="99"/>
      <c r="S43" s="103"/>
      <c r="T43" s="99"/>
      <c r="U43" s="103"/>
      <c r="V43" s="99"/>
      <c r="W43" s="129"/>
      <c r="X43" s="99"/>
      <c r="Y43" s="94"/>
      <c r="Z43" s="94"/>
      <c r="AA43" s="107"/>
      <c r="AB43" s="107"/>
      <c r="AC43" s="103"/>
      <c r="AD43" s="94"/>
      <c r="AE43" s="107"/>
      <c r="AF43" s="94"/>
    </row>
    <row r="44" spans="1:32" ht="16.5">
      <c r="A44" s="4">
        <f t="shared" si="3"/>
        <v>41</v>
      </c>
      <c r="B44" s="5" t="s">
        <v>43</v>
      </c>
      <c r="C44" s="2">
        <v>199.32</v>
      </c>
      <c r="D44" s="2">
        <v>105.26</v>
      </c>
      <c r="E44" s="25"/>
      <c r="F44" s="26"/>
      <c r="G44" s="13">
        <f t="shared" si="2"/>
        <v>304.58</v>
      </c>
      <c r="H44" s="4"/>
      <c r="I44" s="99"/>
      <c r="J44" s="101"/>
      <c r="K44" s="99"/>
      <c r="L44" s="99"/>
      <c r="M44" s="99"/>
      <c r="N44" s="99"/>
      <c r="O44" s="99"/>
      <c r="P44" s="99"/>
      <c r="Q44" s="99"/>
      <c r="R44" s="99"/>
      <c r="S44" s="103"/>
      <c r="T44" s="99"/>
      <c r="U44" s="103"/>
      <c r="V44" s="99"/>
      <c r="W44" s="99"/>
      <c r="X44" s="99"/>
      <c r="Y44" s="94"/>
      <c r="Z44" s="94"/>
      <c r="AA44" s="94"/>
      <c r="AB44" s="94"/>
      <c r="AC44" s="94"/>
      <c r="AD44" s="94"/>
      <c r="AE44" s="130"/>
      <c r="AF44" s="94"/>
    </row>
    <row r="45" spans="1:32" ht="16.5">
      <c r="A45" s="4">
        <f t="shared" si="3"/>
        <v>42</v>
      </c>
      <c r="B45" s="5" t="s">
        <v>44</v>
      </c>
      <c r="C45" s="2">
        <v>254.97</v>
      </c>
      <c r="D45" s="2">
        <v>160.15</v>
      </c>
      <c r="E45" s="25"/>
      <c r="F45" s="26"/>
      <c r="G45" s="13">
        <f t="shared" si="2"/>
        <v>415.12</v>
      </c>
      <c r="H45" s="4"/>
      <c r="I45" s="99"/>
      <c r="J45" s="101"/>
      <c r="K45" s="102"/>
      <c r="L45" s="102"/>
      <c r="M45" s="102"/>
      <c r="N45" s="102"/>
      <c r="O45" s="102"/>
      <c r="P45" s="102"/>
      <c r="Q45" s="99"/>
      <c r="R45" s="99"/>
      <c r="S45" s="103"/>
      <c r="T45" s="99"/>
      <c r="U45" s="103"/>
      <c r="V45" s="99"/>
      <c r="W45" s="102"/>
      <c r="X45" s="129"/>
      <c r="Y45" s="94"/>
      <c r="Z45" s="94"/>
      <c r="AA45" s="94"/>
      <c r="AB45" s="94"/>
      <c r="AC45" s="94"/>
      <c r="AD45" s="94"/>
      <c r="AE45" s="94"/>
      <c r="AF45" s="94"/>
    </row>
    <row r="46" spans="1:32" ht="16.5">
      <c r="A46" s="4">
        <f t="shared" si="3"/>
        <v>43</v>
      </c>
      <c r="B46" s="5" t="s">
        <v>45</v>
      </c>
      <c r="C46" s="2">
        <v>289.95999999999998</v>
      </c>
      <c r="D46" s="2">
        <v>392.48</v>
      </c>
      <c r="E46" s="25"/>
      <c r="F46" s="26"/>
      <c r="G46" s="13">
        <f t="shared" si="2"/>
        <v>682.44</v>
      </c>
      <c r="H46" s="4"/>
      <c r="I46" s="99"/>
      <c r="J46" s="101"/>
      <c r="K46" s="102"/>
      <c r="L46" s="102"/>
      <c r="M46" s="99"/>
      <c r="N46" s="102"/>
      <c r="O46" s="99"/>
      <c r="P46" s="102"/>
      <c r="Q46" s="99"/>
      <c r="R46" s="99"/>
      <c r="S46" s="103"/>
      <c r="T46" s="99"/>
      <c r="U46" s="103"/>
      <c r="V46" s="99"/>
      <c r="W46" s="99"/>
      <c r="X46" s="99"/>
      <c r="Y46" s="94"/>
      <c r="Z46" s="94"/>
      <c r="AA46" s="94"/>
      <c r="AB46" s="94"/>
      <c r="AC46" s="94"/>
      <c r="AD46" s="94"/>
      <c r="AE46" s="107"/>
      <c r="AF46" s="94"/>
    </row>
    <row r="47" spans="1:32" ht="16.5">
      <c r="A47" s="4">
        <f t="shared" si="3"/>
        <v>44</v>
      </c>
      <c r="B47" s="5" t="s">
        <v>46</v>
      </c>
      <c r="C47" s="2">
        <v>231.08</v>
      </c>
      <c r="D47" s="2">
        <v>97.93</v>
      </c>
      <c r="E47" s="25"/>
      <c r="F47" s="26"/>
      <c r="G47" s="13">
        <f t="shared" si="2"/>
        <v>329.01</v>
      </c>
      <c r="H47" s="4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110"/>
      <c r="T47" s="99"/>
      <c r="U47" s="99"/>
      <c r="V47" s="99"/>
      <c r="W47" s="99"/>
      <c r="X47" s="99"/>
      <c r="Y47" s="94"/>
      <c r="Z47" s="94"/>
      <c r="AA47" s="94"/>
      <c r="AB47" s="94"/>
      <c r="AC47" s="94"/>
      <c r="AD47" s="94"/>
      <c r="AE47" s="94"/>
      <c r="AF47" s="94"/>
    </row>
    <row r="48" spans="1:32" ht="16.5">
      <c r="A48" s="4">
        <f t="shared" si="3"/>
        <v>45</v>
      </c>
      <c r="B48" s="5" t="s">
        <v>47</v>
      </c>
      <c r="C48" s="2">
        <v>151.05000000000001</v>
      </c>
      <c r="D48" s="2"/>
      <c r="E48" s="25"/>
      <c r="F48" s="26"/>
      <c r="G48" s="13">
        <f t="shared" si="2"/>
        <v>151.05000000000001</v>
      </c>
      <c r="H48" s="4"/>
      <c r="I48" s="99"/>
      <c r="J48" s="115"/>
      <c r="K48" s="126"/>
      <c r="L48" s="126"/>
      <c r="M48" s="99"/>
      <c r="N48" s="99"/>
      <c r="O48" s="117"/>
      <c r="P48" s="99"/>
      <c r="Q48" s="99"/>
      <c r="R48" s="99"/>
      <c r="S48" s="103"/>
      <c r="T48" s="117"/>
      <c r="U48" s="99"/>
      <c r="V48" s="99"/>
      <c r="W48" s="99"/>
      <c r="X48" s="99"/>
      <c r="Y48" s="103"/>
      <c r="Z48" s="94"/>
      <c r="AA48" s="94"/>
      <c r="AB48" s="94"/>
      <c r="AC48" s="94"/>
      <c r="AD48" s="94"/>
      <c r="AE48" s="94"/>
      <c r="AF48" s="94"/>
    </row>
    <row r="49" spans="1:32" ht="16.5">
      <c r="A49" s="4">
        <f t="shared" si="3"/>
        <v>46</v>
      </c>
      <c r="B49" s="5" t="s">
        <v>48</v>
      </c>
      <c r="C49" s="2">
        <v>36.4</v>
      </c>
      <c r="D49" s="2">
        <v>754.47</v>
      </c>
      <c r="E49" s="25"/>
      <c r="F49" s="26"/>
      <c r="G49" s="13">
        <f t="shared" si="2"/>
        <v>790.87</v>
      </c>
      <c r="H49" s="4"/>
      <c r="I49" s="99"/>
      <c r="J49" s="115"/>
      <c r="K49" s="126"/>
      <c r="L49" s="126"/>
      <c r="M49" s="99"/>
      <c r="N49" s="99"/>
      <c r="O49" s="117"/>
      <c r="P49" s="99"/>
      <c r="Q49" s="99"/>
      <c r="R49" s="99"/>
      <c r="S49" s="103"/>
      <c r="T49" s="117"/>
      <c r="U49" s="117"/>
      <c r="V49" s="99"/>
      <c r="W49" s="99"/>
      <c r="X49" s="99"/>
      <c r="Y49" s="94"/>
      <c r="Z49" s="94"/>
      <c r="AA49" s="94"/>
      <c r="AB49" s="94"/>
      <c r="AC49" s="94"/>
      <c r="AD49" s="94"/>
      <c r="AE49" s="94"/>
      <c r="AF49" s="94"/>
    </row>
    <row r="50" spans="1:32" ht="16.5">
      <c r="A50" s="4">
        <f t="shared" si="3"/>
        <v>47</v>
      </c>
      <c r="B50" s="5" t="s">
        <v>49</v>
      </c>
      <c r="C50" s="2">
        <v>416.14</v>
      </c>
      <c r="D50" s="2">
        <v>2257.17</v>
      </c>
      <c r="E50" s="25"/>
      <c r="F50" s="26"/>
      <c r="G50" s="13">
        <f t="shared" si="2"/>
        <v>2673.31</v>
      </c>
      <c r="H50" s="4"/>
      <c r="I50" s="99"/>
      <c r="J50" s="115"/>
      <c r="K50" s="99"/>
      <c r="L50" s="99"/>
      <c r="M50" s="99"/>
      <c r="N50" s="99"/>
      <c r="O50" s="99"/>
      <c r="P50" s="99"/>
      <c r="Q50" s="99"/>
      <c r="R50" s="99"/>
      <c r="S50" s="103"/>
      <c r="T50" s="99"/>
      <c r="U50" s="99"/>
      <c r="V50" s="99"/>
      <c r="W50" s="99"/>
      <c r="X50" s="99"/>
      <c r="Y50" s="94"/>
      <c r="Z50" s="94"/>
      <c r="AA50" s="94"/>
      <c r="AB50" s="94"/>
      <c r="AC50" s="94"/>
      <c r="AD50" s="94"/>
      <c r="AE50" s="94"/>
      <c r="AF50" s="94"/>
    </row>
    <row r="51" spans="1:32" ht="16.5">
      <c r="A51" s="4">
        <f t="shared" si="3"/>
        <v>48</v>
      </c>
      <c r="B51" s="5" t="s">
        <v>50</v>
      </c>
      <c r="C51" s="2">
        <v>145.01</v>
      </c>
      <c r="D51" s="2">
        <v>657.45</v>
      </c>
      <c r="E51" s="25"/>
      <c r="F51" s="26"/>
      <c r="G51" s="13">
        <f t="shared" si="2"/>
        <v>802.46</v>
      </c>
      <c r="H51" s="4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4"/>
      <c r="Z51" s="94"/>
      <c r="AA51" s="94"/>
      <c r="AB51" s="94"/>
      <c r="AC51" s="94"/>
      <c r="AD51" s="94"/>
      <c r="AE51" s="94"/>
      <c r="AF51" s="94"/>
    </row>
    <row r="52" spans="1:32" ht="16.5">
      <c r="A52" s="4">
        <f t="shared" si="3"/>
        <v>49</v>
      </c>
      <c r="B52" s="5" t="s">
        <v>51</v>
      </c>
      <c r="C52" s="2">
        <v>3590.86</v>
      </c>
      <c r="D52" s="2">
        <v>426.67</v>
      </c>
      <c r="E52" s="25"/>
      <c r="F52" s="26"/>
      <c r="G52" s="13">
        <f t="shared" si="2"/>
        <v>4017.53</v>
      </c>
      <c r="H52" s="4"/>
      <c r="I52" s="99"/>
      <c r="J52" s="115"/>
      <c r="K52" s="99"/>
      <c r="L52" s="126"/>
      <c r="M52" s="99"/>
      <c r="N52" s="99"/>
      <c r="O52" s="99"/>
      <c r="P52" s="99"/>
      <c r="Q52" s="102"/>
      <c r="R52" s="106"/>
      <c r="S52" s="99"/>
      <c r="T52" s="99"/>
      <c r="U52" s="117"/>
      <c r="V52" s="117"/>
      <c r="W52" s="99"/>
      <c r="X52" s="99"/>
      <c r="Y52" s="103"/>
      <c r="Z52" s="94"/>
      <c r="AA52" s="94"/>
      <c r="AB52" s="94"/>
      <c r="AC52" s="94"/>
      <c r="AD52" s="94"/>
      <c r="AE52" s="94"/>
      <c r="AF52" s="94"/>
    </row>
    <row r="53" spans="1:32" ht="16.5">
      <c r="A53" s="4">
        <f t="shared" si="3"/>
        <v>50</v>
      </c>
      <c r="B53" s="5" t="s">
        <v>52</v>
      </c>
      <c r="C53" s="2">
        <v>0</v>
      </c>
      <c r="D53" s="2">
        <v>0</v>
      </c>
      <c r="E53" s="25"/>
      <c r="F53" s="26"/>
      <c r="G53" s="13">
        <f t="shared" si="2"/>
        <v>0</v>
      </c>
      <c r="H53" s="4"/>
      <c r="I53" s="99"/>
      <c r="J53" s="115"/>
      <c r="K53" s="126"/>
      <c r="L53" s="126"/>
      <c r="M53" s="99"/>
      <c r="N53" s="99"/>
      <c r="O53" s="99"/>
      <c r="P53" s="99"/>
      <c r="Q53" s="131"/>
      <c r="R53" s="106"/>
      <c r="S53" s="108"/>
      <c r="T53" s="99"/>
      <c r="U53" s="117"/>
      <c r="V53" s="117"/>
      <c r="W53" s="99"/>
      <c r="X53" s="99"/>
      <c r="Y53" s="108"/>
      <c r="Z53" s="94"/>
      <c r="AA53" s="94"/>
      <c r="AB53" s="106"/>
      <c r="AC53" s="106"/>
      <c r="AD53" s="94"/>
      <c r="AE53" s="94"/>
      <c r="AF53" s="94"/>
    </row>
    <row r="54" spans="1:32" ht="16.5">
      <c r="A54" s="4">
        <f t="shared" si="3"/>
        <v>51</v>
      </c>
      <c r="B54" s="5" t="s">
        <v>53</v>
      </c>
      <c r="C54" s="2">
        <v>652.73</v>
      </c>
      <c r="D54" s="2">
        <v>1227.4659999999999</v>
      </c>
      <c r="E54" s="25"/>
      <c r="F54" s="26"/>
      <c r="G54" s="13">
        <f t="shared" si="2"/>
        <v>1880.1959999999999</v>
      </c>
      <c r="H54" s="4"/>
      <c r="I54" s="99"/>
      <c r="J54" s="115"/>
      <c r="K54" s="99"/>
      <c r="L54" s="99"/>
      <c r="M54" s="99"/>
      <c r="N54" s="99"/>
      <c r="O54" s="99"/>
      <c r="P54" s="99"/>
      <c r="Q54" s="99"/>
      <c r="R54" s="106"/>
      <c r="S54" s="106"/>
      <c r="T54" s="99"/>
      <c r="U54" s="99"/>
      <c r="V54" s="99"/>
      <c r="W54" s="99"/>
      <c r="X54" s="99"/>
      <c r="Y54" s="106"/>
      <c r="Z54" s="94"/>
      <c r="AA54" s="94"/>
      <c r="AB54" s="106"/>
      <c r="AC54" s="106"/>
      <c r="AD54" s="94"/>
      <c r="AE54" s="94"/>
      <c r="AF54" s="94"/>
    </row>
    <row r="55" spans="1:32" ht="16.5">
      <c r="A55" s="4">
        <f t="shared" si="3"/>
        <v>52</v>
      </c>
      <c r="B55" s="5" t="s">
        <v>54</v>
      </c>
      <c r="C55" s="2">
        <v>198.55</v>
      </c>
      <c r="D55" s="2">
        <v>150.5</v>
      </c>
      <c r="E55" s="25"/>
      <c r="F55" s="26"/>
      <c r="G55" s="13">
        <f t="shared" si="2"/>
        <v>349.05</v>
      </c>
      <c r="I55" s="94"/>
      <c r="J55" s="94"/>
      <c r="K55" s="94"/>
      <c r="L55" s="94"/>
      <c r="M55" s="94"/>
      <c r="N55" s="94"/>
      <c r="O55" s="94"/>
      <c r="P55" s="94"/>
      <c r="Q55" s="107"/>
      <c r="R55" s="106"/>
      <c r="S55" s="111"/>
      <c r="T55" s="94"/>
      <c r="U55" s="94"/>
      <c r="V55" s="94"/>
      <c r="W55" s="94"/>
      <c r="X55" s="94"/>
      <c r="Y55" s="108"/>
      <c r="Z55" s="94"/>
      <c r="AA55" s="94"/>
      <c r="AB55" s="106"/>
      <c r="AC55" s="106"/>
      <c r="AD55" s="94"/>
      <c r="AE55" s="94"/>
      <c r="AF55" s="94"/>
    </row>
    <row r="56" spans="1:32" ht="16.5">
      <c r="A56" s="4">
        <f t="shared" si="3"/>
        <v>53</v>
      </c>
      <c r="B56" s="5" t="s">
        <v>55</v>
      </c>
      <c r="C56" s="2">
        <v>715.05</v>
      </c>
      <c r="D56" s="2">
        <v>404.93</v>
      </c>
      <c r="E56" s="25" t="s">
        <v>112</v>
      </c>
      <c r="F56" s="26"/>
      <c r="G56" s="13">
        <f t="shared" si="2"/>
        <v>1119.98</v>
      </c>
      <c r="I56" s="94"/>
      <c r="J56" s="94"/>
      <c r="K56" s="94"/>
      <c r="L56" s="116"/>
      <c r="M56" s="116"/>
      <c r="N56" s="94"/>
      <c r="O56" s="103"/>
      <c r="P56" s="94"/>
      <c r="Q56" s="132"/>
      <c r="R56" s="106"/>
      <c r="S56" s="109"/>
      <c r="T56" s="94"/>
      <c r="U56" s="106"/>
      <c r="V56" s="111"/>
      <c r="W56" s="117"/>
      <c r="X56" s="94"/>
      <c r="Y56" s="109"/>
      <c r="Z56" s="94"/>
      <c r="AA56" s="94"/>
      <c r="AB56" s="106"/>
      <c r="AC56" s="106"/>
      <c r="AD56" s="94"/>
      <c r="AE56" s="94"/>
      <c r="AF56" s="94"/>
    </row>
    <row r="57" spans="1:32" ht="16.5">
      <c r="A57" s="4">
        <f t="shared" si="3"/>
        <v>54</v>
      </c>
      <c r="B57" s="5" t="s">
        <v>56</v>
      </c>
      <c r="C57" s="2">
        <v>1298.1410000000001</v>
      </c>
      <c r="D57" s="2">
        <v>358.83699999999999</v>
      </c>
      <c r="E57" s="25"/>
      <c r="F57" s="26"/>
      <c r="G57" s="13">
        <f t="shared" si="2"/>
        <v>1656.9780000000001</v>
      </c>
      <c r="I57" s="94"/>
      <c r="J57" s="94"/>
      <c r="K57" s="94"/>
      <c r="L57" s="116"/>
      <c r="M57" s="116"/>
      <c r="N57" s="94"/>
      <c r="O57" s="103"/>
      <c r="P57" s="94"/>
      <c r="Q57" s="107"/>
      <c r="R57" s="106"/>
      <c r="S57" s="106"/>
      <c r="T57" s="94"/>
      <c r="U57" s="106"/>
      <c r="V57" s="106"/>
      <c r="W57" s="117"/>
      <c r="X57" s="94"/>
      <c r="Y57" s="109"/>
      <c r="Z57" s="94"/>
      <c r="AA57" s="94"/>
      <c r="AB57" s="106"/>
      <c r="AC57" s="106"/>
      <c r="AD57" s="94"/>
      <c r="AE57" s="94"/>
      <c r="AF57" s="94"/>
    </row>
    <row r="58" spans="1:32" ht="16.5">
      <c r="A58" s="4">
        <f t="shared" si="3"/>
        <v>55</v>
      </c>
      <c r="B58" s="5" t="s">
        <v>57</v>
      </c>
      <c r="C58" s="2">
        <v>256.12</v>
      </c>
      <c r="D58" s="2">
        <v>116.36</v>
      </c>
      <c r="E58" s="25"/>
      <c r="F58" s="26"/>
      <c r="G58" s="13">
        <f t="shared" si="2"/>
        <v>372.48</v>
      </c>
      <c r="I58" s="94"/>
      <c r="J58" s="94"/>
      <c r="K58" s="94"/>
      <c r="L58" s="116"/>
      <c r="M58" s="116"/>
      <c r="N58" s="94"/>
      <c r="O58" s="103"/>
      <c r="P58" s="94"/>
      <c r="Q58" s="94"/>
      <c r="R58" s="133"/>
      <c r="S58" s="106"/>
      <c r="T58" s="94"/>
      <c r="U58" s="94"/>
      <c r="V58" s="94"/>
      <c r="W58" s="94"/>
      <c r="X58" s="94"/>
      <c r="Y58" s="109"/>
      <c r="Z58" s="94"/>
      <c r="AA58" s="94"/>
      <c r="AB58" s="106"/>
      <c r="AC58" s="106"/>
      <c r="AD58" s="94"/>
      <c r="AE58" s="94"/>
      <c r="AF58" s="94"/>
    </row>
    <row r="59" spans="1:32" ht="16.5">
      <c r="A59" s="4">
        <f t="shared" si="3"/>
        <v>56</v>
      </c>
      <c r="B59" s="5" t="s">
        <v>58</v>
      </c>
      <c r="C59" s="2">
        <v>356.92</v>
      </c>
      <c r="D59" s="2">
        <v>254.38</v>
      </c>
      <c r="E59" s="25"/>
      <c r="F59" s="26"/>
      <c r="G59" s="13">
        <f t="shared" si="2"/>
        <v>611.29999999999995</v>
      </c>
      <c r="I59" s="94"/>
      <c r="J59" s="94"/>
      <c r="K59" s="94"/>
      <c r="L59" s="116"/>
      <c r="M59" s="116"/>
      <c r="N59" s="94"/>
      <c r="O59" s="103"/>
      <c r="P59" s="94"/>
      <c r="Q59" s="94"/>
      <c r="R59" s="116"/>
      <c r="S59" s="108"/>
      <c r="T59" s="94"/>
      <c r="U59" s="94"/>
      <c r="V59" s="94"/>
      <c r="W59" s="94"/>
      <c r="X59" s="94"/>
      <c r="Y59" s="106"/>
      <c r="Z59" s="94"/>
      <c r="AA59" s="94"/>
      <c r="AB59" s="106"/>
      <c r="AC59" s="111"/>
      <c r="AD59" s="94"/>
      <c r="AE59" s="94"/>
      <c r="AF59" s="94"/>
    </row>
    <row r="60" spans="1:32" ht="16.5">
      <c r="A60" s="4">
        <f t="shared" si="3"/>
        <v>57</v>
      </c>
      <c r="B60" s="5" t="s">
        <v>59</v>
      </c>
      <c r="C60" s="2">
        <v>253.42</v>
      </c>
      <c r="D60" s="2">
        <v>140.96</v>
      </c>
      <c r="E60" s="25"/>
      <c r="F60" s="26"/>
      <c r="G60" s="13">
        <f t="shared" si="2"/>
        <v>394.38</v>
      </c>
      <c r="I60" s="94"/>
      <c r="J60" s="94"/>
      <c r="K60" s="94"/>
      <c r="L60" s="94"/>
      <c r="M60" s="94"/>
      <c r="N60" s="94"/>
      <c r="O60" s="94"/>
      <c r="P60" s="94"/>
      <c r="Q60" s="94"/>
      <c r="R60" s="116"/>
      <c r="S60" s="106"/>
      <c r="T60" s="94"/>
      <c r="U60" s="125"/>
      <c r="V60" s="94"/>
      <c r="W60" s="94"/>
      <c r="X60" s="94"/>
      <c r="Y60" s="106"/>
      <c r="Z60" s="94"/>
      <c r="AA60" s="94"/>
      <c r="AB60" s="106"/>
      <c r="AC60" s="106"/>
      <c r="AD60" s="94"/>
      <c r="AE60" s="94"/>
      <c r="AF60" s="94"/>
    </row>
    <row r="61" spans="1:32" ht="16.5">
      <c r="A61" s="4">
        <f t="shared" si="3"/>
        <v>58</v>
      </c>
      <c r="B61" s="5" t="s">
        <v>60</v>
      </c>
      <c r="C61" s="2">
        <v>23.7</v>
      </c>
      <c r="D61" s="2">
        <v>7.4</v>
      </c>
      <c r="E61" s="25"/>
      <c r="F61" s="26"/>
      <c r="G61" s="13">
        <f t="shared" si="2"/>
        <v>31.1</v>
      </c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125"/>
      <c r="V61" s="107"/>
      <c r="W61" s="94"/>
      <c r="X61" s="94"/>
      <c r="Y61" s="94"/>
      <c r="Z61" s="94"/>
      <c r="AA61" s="94"/>
      <c r="AB61" s="94"/>
      <c r="AC61" s="94"/>
      <c r="AD61" s="94"/>
      <c r="AE61" s="94"/>
      <c r="AF61" s="94"/>
    </row>
    <row r="62" spans="1:32" ht="16.5">
      <c r="A62" s="4">
        <f t="shared" si="3"/>
        <v>59</v>
      </c>
      <c r="B62" s="5" t="s">
        <v>61</v>
      </c>
      <c r="C62" s="2">
        <v>386.86</v>
      </c>
      <c r="D62" s="2">
        <v>309.22000000000003</v>
      </c>
      <c r="E62" s="25"/>
      <c r="F62" s="26"/>
      <c r="G62" s="13">
        <f t="shared" si="2"/>
        <v>696.08</v>
      </c>
      <c r="I62" s="94"/>
      <c r="J62" s="94"/>
      <c r="K62" s="94"/>
      <c r="L62" s="94"/>
      <c r="M62" s="94"/>
      <c r="N62" s="94"/>
      <c r="O62" s="94"/>
      <c r="P62" s="94"/>
      <c r="Q62" s="94"/>
      <c r="R62" s="107"/>
      <c r="S62" s="107"/>
      <c r="T62" s="94"/>
      <c r="U62" s="125"/>
      <c r="V62" s="107"/>
      <c r="W62" s="94"/>
      <c r="X62" s="94"/>
      <c r="Y62" s="107"/>
      <c r="Z62" s="94"/>
      <c r="AA62" s="94"/>
      <c r="AB62" s="107"/>
      <c r="AC62" s="107"/>
      <c r="AD62" s="94"/>
      <c r="AE62" s="94"/>
      <c r="AF62" s="94"/>
    </row>
    <row r="63" spans="1:32" ht="16.5">
      <c r="A63" s="4">
        <f t="shared" si="3"/>
        <v>60</v>
      </c>
      <c r="B63" s="5" t="s">
        <v>62</v>
      </c>
      <c r="C63" s="2">
        <v>0</v>
      </c>
      <c r="D63" s="2">
        <v>416.97</v>
      </c>
      <c r="E63" s="25"/>
      <c r="F63" s="26"/>
      <c r="G63" s="13">
        <f t="shared" si="2"/>
        <v>416.97</v>
      </c>
      <c r="I63" s="94"/>
      <c r="J63" s="94"/>
      <c r="K63" s="94"/>
      <c r="L63" s="94"/>
      <c r="M63" s="94"/>
      <c r="N63" s="94"/>
      <c r="O63" s="94"/>
      <c r="P63" s="94"/>
      <c r="Q63" s="107"/>
      <c r="R63" s="94"/>
      <c r="S63" s="94"/>
      <c r="T63" s="94"/>
      <c r="U63" s="125"/>
      <c r="V63" s="107"/>
      <c r="W63" s="94"/>
      <c r="X63" s="94"/>
      <c r="Y63" s="134"/>
      <c r="Z63" s="94"/>
      <c r="AA63" s="94"/>
      <c r="AB63" s="121"/>
      <c r="AC63" s="121"/>
      <c r="AD63" s="94"/>
      <c r="AE63" s="94"/>
      <c r="AF63" s="94"/>
    </row>
    <row r="64" spans="1:32" ht="16.5">
      <c r="A64" s="4">
        <f t="shared" si="3"/>
        <v>61</v>
      </c>
      <c r="B64" s="5" t="s">
        <v>63</v>
      </c>
      <c r="C64" s="2">
        <v>160.78</v>
      </c>
      <c r="D64" s="2">
        <v>243.93</v>
      </c>
      <c r="E64" s="25"/>
      <c r="F64" s="26"/>
      <c r="G64" s="13">
        <f t="shared" si="2"/>
        <v>404.71</v>
      </c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125"/>
      <c r="V64" s="107"/>
      <c r="W64" s="94"/>
      <c r="X64" s="94"/>
      <c r="Y64" s="94"/>
      <c r="Z64" s="94"/>
      <c r="AA64" s="94"/>
      <c r="AB64" s="94"/>
      <c r="AC64" s="94"/>
      <c r="AD64" s="94"/>
      <c r="AE64" s="94"/>
      <c r="AF64" s="94"/>
    </row>
    <row r="65" spans="1:32" ht="16.5">
      <c r="A65" s="4">
        <f t="shared" si="3"/>
        <v>62</v>
      </c>
      <c r="B65" s="5" t="s">
        <v>64</v>
      </c>
      <c r="C65" s="2">
        <v>617.24</v>
      </c>
      <c r="D65" s="2">
        <v>248.97</v>
      </c>
      <c r="E65" s="25"/>
      <c r="F65" s="26"/>
      <c r="G65" s="13">
        <f t="shared" si="2"/>
        <v>866.21</v>
      </c>
      <c r="I65" s="94"/>
      <c r="J65" s="94"/>
      <c r="K65" s="94"/>
      <c r="L65" s="94"/>
      <c r="M65" s="94"/>
      <c r="N65" s="94"/>
      <c r="O65" s="94"/>
      <c r="P65" s="94"/>
      <c r="Q65" s="133"/>
      <c r="R65" s="125"/>
      <c r="S65" s="103"/>
      <c r="T65" s="94"/>
      <c r="U65" s="125"/>
      <c r="V65" s="107"/>
      <c r="W65" s="94"/>
      <c r="X65" s="94"/>
      <c r="Y65" s="103"/>
      <c r="Z65" s="94"/>
      <c r="AA65" s="94"/>
      <c r="AB65" s="103"/>
      <c r="AC65" s="103"/>
      <c r="AD65" s="94"/>
      <c r="AE65" s="94"/>
      <c r="AF65" s="94"/>
    </row>
    <row r="66" spans="1:32" ht="16.5">
      <c r="A66" s="4">
        <f t="shared" si="3"/>
        <v>63</v>
      </c>
      <c r="B66" s="5" t="s">
        <v>65</v>
      </c>
      <c r="C66" s="2">
        <v>224.22</v>
      </c>
      <c r="D66" s="2">
        <v>203.37</v>
      </c>
      <c r="E66" s="25"/>
      <c r="F66" s="26"/>
      <c r="G66" s="13">
        <f t="shared" si="2"/>
        <v>427.59</v>
      </c>
      <c r="I66" s="94"/>
      <c r="J66" s="94"/>
      <c r="K66" s="94"/>
      <c r="L66" s="94"/>
      <c r="M66" s="94"/>
      <c r="N66" s="94"/>
      <c r="O66" s="94"/>
      <c r="P66" s="94"/>
      <c r="Q66" s="116"/>
      <c r="R66" s="135"/>
      <c r="S66" s="103"/>
      <c r="T66" s="94"/>
      <c r="U66" s="133"/>
      <c r="V66" s="107"/>
      <c r="W66" s="94"/>
      <c r="X66" s="94"/>
      <c r="Y66" s="94"/>
      <c r="Z66" s="94"/>
      <c r="AA66" s="94"/>
      <c r="AB66" s="94"/>
      <c r="AC66" s="94"/>
      <c r="AD66" s="94"/>
      <c r="AE66" s="94"/>
      <c r="AF66" s="94"/>
    </row>
    <row r="67" spans="1:32" ht="16.5">
      <c r="A67" s="4">
        <f t="shared" si="3"/>
        <v>64</v>
      </c>
      <c r="B67" s="5" t="s">
        <v>66</v>
      </c>
      <c r="C67" s="2">
        <v>2033.22</v>
      </c>
      <c r="D67" s="2">
        <v>1053.26</v>
      </c>
      <c r="E67" s="25"/>
      <c r="F67" s="26"/>
      <c r="G67" s="13">
        <f t="shared" si="2"/>
        <v>3086.48</v>
      </c>
      <c r="I67" s="94"/>
      <c r="J67" s="94"/>
      <c r="K67" s="94"/>
      <c r="L67" s="94"/>
      <c r="M67" s="94"/>
      <c r="N67" s="94"/>
      <c r="O67" s="94"/>
      <c r="P67" s="94"/>
      <c r="Q67" s="116"/>
      <c r="R67" s="135"/>
      <c r="S67" s="107"/>
      <c r="T67" s="94"/>
      <c r="U67" s="135"/>
      <c r="V67" s="107"/>
      <c r="W67" s="94"/>
      <c r="X67" s="94"/>
      <c r="Y67" s="94"/>
      <c r="Z67" s="94"/>
      <c r="AA67" s="94"/>
      <c r="AB67" s="94"/>
      <c r="AC67" s="94"/>
      <c r="AD67" s="94"/>
      <c r="AE67" s="94"/>
      <c r="AF67" s="94"/>
    </row>
    <row r="68" spans="1:32" ht="16.5">
      <c r="A68" s="4">
        <f t="shared" si="3"/>
        <v>65</v>
      </c>
      <c r="B68" s="5" t="s">
        <v>67</v>
      </c>
      <c r="C68" s="2">
        <v>101.04</v>
      </c>
      <c r="D68" s="2">
        <v>736.55</v>
      </c>
      <c r="E68" s="25"/>
      <c r="F68" s="26"/>
      <c r="G68" s="13">
        <f t="shared" ref="G68:G99" si="4">C68+D68</f>
        <v>837.59</v>
      </c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135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</row>
    <row r="69" spans="1:32" ht="16.5">
      <c r="A69" s="4">
        <f t="shared" si="3"/>
        <v>66</v>
      </c>
      <c r="B69" s="5" t="s">
        <v>68</v>
      </c>
      <c r="C69" s="2">
        <v>710.98</v>
      </c>
      <c r="D69" s="2">
        <v>206.73</v>
      </c>
      <c r="E69" s="25"/>
      <c r="F69" s="26"/>
      <c r="G69" s="13">
        <f t="shared" si="4"/>
        <v>917.71</v>
      </c>
      <c r="I69" s="94"/>
      <c r="J69" s="94"/>
      <c r="K69" s="94"/>
      <c r="L69" s="94"/>
      <c r="M69" s="94"/>
      <c r="N69" s="94"/>
      <c r="O69" s="94"/>
      <c r="P69" s="94"/>
      <c r="Q69" s="134"/>
      <c r="R69" s="131"/>
      <c r="S69" s="107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</row>
    <row r="70" spans="1:32" ht="16.5">
      <c r="A70" s="4">
        <f t="shared" ref="A70:A101" si="5">1+A69</f>
        <v>67</v>
      </c>
      <c r="B70" s="5" t="s">
        <v>69</v>
      </c>
      <c r="C70" s="2">
        <v>73.31</v>
      </c>
      <c r="D70" s="2">
        <v>120.04</v>
      </c>
      <c r="E70" s="25"/>
      <c r="F70" s="26"/>
      <c r="G70" s="13">
        <f t="shared" si="4"/>
        <v>193.35</v>
      </c>
      <c r="I70" s="94"/>
      <c r="J70" s="94"/>
      <c r="K70" s="94"/>
      <c r="L70" s="94"/>
      <c r="M70" s="94"/>
      <c r="N70" s="94"/>
      <c r="O70" s="94"/>
      <c r="P70" s="94"/>
      <c r="Q70" s="116"/>
      <c r="R70" s="136"/>
      <c r="S70" s="107"/>
      <c r="T70" s="94"/>
      <c r="U70" s="107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</row>
    <row r="71" spans="1:32" ht="16.5">
      <c r="A71" s="4">
        <f t="shared" si="5"/>
        <v>68</v>
      </c>
      <c r="B71" s="5" t="s">
        <v>70</v>
      </c>
      <c r="C71" s="2">
        <v>219.2</v>
      </c>
      <c r="D71" s="2">
        <v>145.38999999999999</v>
      </c>
      <c r="E71" s="25"/>
      <c r="F71" s="26"/>
      <c r="G71" s="13">
        <f t="shared" si="4"/>
        <v>364.59</v>
      </c>
      <c r="I71" s="94"/>
      <c r="J71" s="94"/>
      <c r="K71" s="94"/>
      <c r="L71" s="94"/>
      <c r="M71" s="94"/>
      <c r="N71" s="94"/>
      <c r="O71" s="94"/>
      <c r="P71" s="94"/>
      <c r="Q71" s="116"/>
      <c r="R71" s="136"/>
      <c r="S71" s="107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</row>
    <row r="72" spans="1:32" ht="16.5">
      <c r="A72" s="4">
        <f t="shared" si="5"/>
        <v>69</v>
      </c>
      <c r="B72" s="5" t="s">
        <v>71</v>
      </c>
      <c r="C72" s="2">
        <v>408.1</v>
      </c>
      <c r="D72" s="2">
        <v>128.41</v>
      </c>
      <c r="E72" s="25"/>
      <c r="F72" s="26"/>
      <c r="G72" s="13">
        <f t="shared" si="4"/>
        <v>536.51</v>
      </c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</row>
    <row r="73" spans="1:32" ht="16.5">
      <c r="A73" s="4">
        <f t="shared" si="5"/>
        <v>70</v>
      </c>
      <c r="B73" s="5" t="s">
        <v>72</v>
      </c>
      <c r="C73" s="2">
        <v>355.83</v>
      </c>
      <c r="D73" s="2">
        <v>307.14</v>
      </c>
      <c r="E73" s="25"/>
      <c r="F73" s="26"/>
      <c r="G73" s="13">
        <f t="shared" si="4"/>
        <v>662.97</v>
      </c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</row>
    <row r="74" spans="1:32" ht="16.5">
      <c r="A74" s="4">
        <f t="shared" si="5"/>
        <v>71</v>
      </c>
      <c r="B74" s="5" t="s">
        <v>73</v>
      </c>
      <c r="C74" s="2">
        <v>586.47</v>
      </c>
      <c r="D74" s="2">
        <v>279.05</v>
      </c>
      <c r="E74" s="25"/>
      <c r="F74" s="26"/>
      <c r="G74" s="13">
        <f t="shared" si="4"/>
        <v>865.52</v>
      </c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</row>
    <row r="75" spans="1:32" ht="16.5">
      <c r="A75" s="4">
        <f t="shared" si="5"/>
        <v>72</v>
      </c>
      <c r="B75" s="5" t="s">
        <v>74</v>
      </c>
      <c r="C75" s="2">
        <v>701.09</v>
      </c>
      <c r="D75" s="2">
        <v>1481.25</v>
      </c>
      <c r="E75" s="25"/>
      <c r="F75" s="26"/>
      <c r="G75" s="13">
        <f t="shared" si="4"/>
        <v>2182.34</v>
      </c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</row>
    <row r="76" spans="1:32" ht="16.5">
      <c r="A76" s="4">
        <f t="shared" si="5"/>
        <v>73</v>
      </c>
      <c r="B76" s="5" t="s">
        <v>75</v>
      </c>
      <c r="C76" s="2"/>
      <c r="D76" s="2"/>
      <c r="E76" s="25"/>
      <c r="F76" s="26"/>
      <c r="G76" s="13">
        <f t="shared" si="4"/>
        <v>0</v>
      </c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</row>
    <row r="77" spans="1:32" ht="16.5">
      <c r="A77" s="4">
        <f t="shared" si="5"/>
        <v>74</v>
      </c>
      <c r="B77" s="5" t="s">
        <v>76</v>
      </c>
      <c r="C77" s="2">
        <v>376.36</v>
      </c>
      <c r="D77" s="2">
        <v>445.83</v>
      </c>
      <c r="E77" s="25"/>
      <c r="F77" s="26"/>
      <c r="G77" s="13">
        <f t="shared" si="4"/>
        <v>822.19</v>
      </c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</row>
    <row r="78" spans="1:32" ht="16.5">
      <c r="A78" s="4">
        <f t="shared" si="5"/>
        <v>75</v>
      </c>
      <c r="B78" s="5" t="s">
        <v>77</v>
      </c>
      <c r="C78" s="2">
        <v>277.27</v>
      </c>
      <c r="D78" s="2">
        <v>149.66999999999999</v>
      </c>
      <c r="E78" s="25"/>
      <c r="F78" s="26"/>
      <c r="G78" s="13">
        <f t="shared" si="4"/>
        <v>426.94</v>
      </c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</row>
    <row r="79" spans="1:32" ht="16.5">
      <c r="A79" s="4">
        <f t="shared" si="5"/>
        <v>76</v>
      </c>
      <c r="B79" s="5" t="s">
        <v>78</v>
      </c>
      <c r="C79" s="2">
        <v>184.1</v>
      </c>
      <c r="D79" s="2">
        <v>156.72999999999999</v>
      </c>
      <c r="E79" s="25"/>
      <c r="F79" s="26"/>
      <c r="G79" s="13">
        <f t="shared" si="4"/>
        <v>340.83</v>
      </c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</row>
    <row r="80" spans="1:32" ht="16.5">
      <c r="A80" s="4">
        <f t="shared" si="5"/>
        <v>77</v>
      </c>
      <c r="B80" s="5" t="s">
        <v>79</v>
      </c>
      <c r="C80" s="2">
        <v>1614.08</v>
      </c>
      <c r="D80" s="2">
        <v>254.75</v>
      </c>
      <c r="E80" s="25"/>
      <c r="F80" s="26"/>
      <c r="G80" s="13">
        <f t="shared" si="4"/>
        <v>1868.83</v>
      </c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</row>
    <row r="81" spans="1:32" ht="16.5">
      <c r="A81" s="4">
        <f t="shared" si="5"/>
        <v>78</v>
      </c>
      <c r="B81" s="5" t="s">
        <v>80</v>
      </c>
      <c r="C81" s="2">
        <v>1053.3</v>
      </c>
      <c r="D81" s="2">
        <v>45.77</v>
      </c>
      <c r="E81" s="25"/>
      <c r="F81" s="26"/>
      <c r="G81" s="13">
        <f t="shared" si="4"/>
        <v>1099.07</v>
      </c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</row>
    <row r="82" spans="1:32" ht="16.5">
      <c r="A82" s="4">
        <f t="shared" si="5"/>
        <v>79</v>
      </c>
      <c r="B82" s="5" t="s">
        <v>81</v>
      </c>
      <c r="C82" s="2">
        <v>2517.14</v>
      </c>
      <c r="D82" s="2">
        <v>173.56</v>
      </c>
      <c r="E82" s="25"/>
      <c r="F82" s="26"/>
      <c r="G82" s="13">
        <f t="shared" si="4"/>
        <v>2690.7</v>
      </c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</row>
    <row r="83" spans="1:32" ht="16.5">
      <c r="A83" s="4">
        <f t="shared" si="5"/>
        <v>80</v>
      </c>
      <c r="B83" s="5" t="s">
        <v>82</v>
      </c>
      <c r="C83" s="2">
        <v>633.25</v>
      </c>
      <c r="D83" s="2">
        <v>217.63</v>
      </c>
      <c r="E83" s="25"/>
      <c r="F83" s="26"/>
      <c r="G83" s="13">
        <f t="shared" si="4"/>
        <v>850.88</v>
      </c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</row>
    <row r="84" spans="1:32" ht="16.5">
      <c r="A84" s="4">
        <f t="shared" si="5"/>
        <v>81</v>
      </c>
      <c r="B84" s="5" t="s">
        <v>83</v>
      </c>
      <c r="C84" s="2">
        <v>432.03</v>
      </c>
      <c r="D84" s="2">
        <v>121.06</v>
      </c>
      <c r="E84" s="25"/>
      <c r="F84" s="26"/>
      <c r="G84" s="13">
        <f t="shared" si="4"/>
        <v>553.09</v>
      </c>
      <c r="H84" s="4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4"/>
      <c r="Z84" s="94"/>
      <c r="AA84" s="94"/>
      <c r="AB84" s="94"/>
      <c r="AC84" s="94"/>
      <c r="AD84" s="94"/>
      <c r="AE84" s="94"/>
      <c r="AF84" s="94"/>
    </row>
    <row r="85" spans="1:32" ht="16.5">
      <c r="A85" s="4">
        <f t="shared" si="5"/>
        <v>82</v>
      </c>
      <c r="B85" s="5" t="s">
        <v>84</v>
      </c>
      <c r="C85" s="2">
        <v>219.79</v>
      </c>
      <c r="D85" s="2">
        <v>19.559999999999999</v>
      </c>
      <c r="E85" s="25"/>
      <c r="F85" s="26"/>
      <c r="G85" s="13">
        <f t="shared" si="4"/>
        <v>239.35</v>
      </c>
      <c r="H85" s="4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4"/>
      <c r="Z85" s="94"/>
      <c r="AA85" s="94"/>
      <c r="AB85" s="94"/>
      <c r="AC85" s="94"/>
      <c r="AD85" s="94"/>
      <c r="AE85" s="94"/>
      <c r="AF85" s="94"/>
    </row>
    <row r="86" spans="1:32" ht="16.5">
      <c r="A86" s="4">
        <f t="shared" si="5"/>
        <v>83</v>
      </c>
      <c r="B86" s="5" t="s">
        <v>85</v>
      </c>
      <c r="C86" s="2">
        <v>297.49</v>
      </c>
      <c r="D86" s="2">
        <v>279.86</v>
      </c>
      <c r="E86" s="25"/>
      <c r="F86" s="26"/>
      <c r="G86" s="13">
        <f t="shared" si="4"/>
        <v>577.35</v>
      </c>
      <c r="H86" s="4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4"/>
      <c r="Z86" s="94"/>
      <c r="AA86" s="94"/>
      <c r="AB86" s="94"/>
      <c r="AC86" s="94"/>
      <c r="AD86" s="94"/>
      <c r="AE86" s="94"/>
      <c r="AF86" s="94"/>
    </row>
    <row r="87" spans="1:32" ht="16.5">
      <c r="A87" s="4">
        <f t="shared" si="5"/>
        <v>84</v>
      </c>
      <c r="B87" s="5" t="s">
        <v>86</v>
      </c>
      <c r="C87" s="2">
        <v>781.4</v>
      </c>
      <c r="D87" s="2">
        <v>1400.3</v>
      </c>
      <c r="E87" s="29"/>
      <c r="F87" s="30"/>
      <c r="G87" s="13">
        <f t="shared" si="4"/>
        <v>2181.6999999999998</v>
      </c>
      <c r="I87" s="94"/>
      <c r="J87" s="94"/>
      <c r="K87" s="94"/>
      <c r="L87" s="137"/>
      <c r="M87" s="137"/>
      <c r="N87" s="101"/>
      <c r="O87" s="99"/>
      <c r="P87" s="101"/>
      <c r="Q87" s="99"/>
      <c r="R87" s="137"/>
      <c r="S87" s="137"/>
      <c r="T87" s="99"/>
      <c r="U87" s="99"/>
      <c r="V87" s="99"/>
      <c r="W87" s="99"/>
      <c r="X87" s="99"/>
      <c r="Y87" s="94"/>
      <c r="Z87" s="94"/>
      <c r="AA87" s="94"/>
      <c r="AB87" s="94"/>
      <c r="AC87" s="94"/>
      <c r="AD87" s="94"/>
      <c r="AE87" s="94"/>
      <c r="AF87" s="94"/>
    </row>
    <row r="88" spans="1:32" ht="16.5">
      <c r="A88" s="4">
        <f t="shared" si="5"/>
        <v>85</v>
      </c>
      <c r="B88" s="5" t="s">
        <v>87</v>
      </c>
      <c r="C88" s="2">
        <v>1772.66</v>
      </c>
      <c r="D88" s="2">
        <v>853.17</v>
      </c>
      <c r="E88" s="31"/>
      <c r="F88" s="4"/>
      <c r="G88" s="13">
        <f t="shared" si="4"/>
        <v>2625.83</v>
      </c>
      <c r="I88" s="94"/>
      <c r="J88" s="94"/>
      <c r="K88" s="94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4"/>
      <c r="Z88" s="94"/>
      <c r="AA88" s="94"/>
      <c r="AB88" s="94"/>
      <c r="AC88" s="94"/>
      <c r="AD88" s="94"/>
      <c r="AE88" s="94"/>
      <c r="AF88" s="94"/>
    </row>
    <row r="89" spans="1:32" ht="16.5">
      <c r="A89" s="4">
        <f t="shared" si="5"/>
        <v>86</v>
      </c>
      <c r="B89" s="5" t="s">
        <v>88</v>
      </c>
      <c r="C89" s="2">
        <v>1314.66</v>
      </c>
      <c r="D89" s="2">
        <v>166.18</v>
      </c>
      <c r="E89" s="31"/>
      <c r="F89" s="4"/>
      <c r="G89" s="13">
        <f t="shared" si="4"/>
        <v>1480.84</v>
      </c>
      <c r="H89" s="4"/>
      <c r="I89" s="99"/>
      <c r="J89" s="99"/>
      <c r="K89" s="99"/>
      <c r="L89" s="99"/>
      <c r="M89" s="99"/>
      <c r="N89" s="99"/>
      <c r="O89" s="99"/>
      <c r="P89" s="99"/>
      <c r="Q89" s="99"/>
      <c r="R89" s="123"/>
      <c r="S89" s="123"/>
      <c r="T89" s="99"/>
      <c r="U89" s="99"/>
      <c r="V89" s="99"/>
      <c r="W89" s="99"/>
      <c r="X89" s="99"/>
      <c r="Y89" s="94"/>
      <c r="Z89" s="94"/>
      <c r="AA89" s="94"/>
      <c r="AB89" s="94"/>
      <c r="AC89" s="94"/>
      <c r="AD89" s="94"/>
      <c r="AE89" s="94"/>
      <c r="AF89" s="94"/>
    </row>
    <row r="90" spans="1:32" ht="16.5">
      <c r="A90" s="4">
        <f t="shared" si="5"/>
        <v>87</v>
      </c>
      <c r="B90" s="5" t="s">
        <v>89</v>
      </c>
      <c r="C90" s="2">
        <v>215.48</v>
      </c>
      <c r="D90" s="2">
        <v>127.67</v>
      </c>
      <c r="E90" s="31"/>
      <c r="F90" s="4"/>
      <c r="G90" s="13">
        <f t="shared" si="4"/>
        <v>343.15</v>
      </c>
      <c r="H90" s="4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4"/>
      <c r="Z90" s="94"/>
      <c r="AA90" s="94"/>
      <c r="AB90" s="94"/>
      <c r="AC90" s="94"/>
      <c r="AD90" s="94"/>
      <c r="AE90" s="94"/>
      <c r="AF90" s="94"/>
    </row>
    <row r="91" spans="1:32" ht="16.5">
      <c r="A91" s="4">
        <f t="shared" si="5"/>
        <v>88</v>
      </c>
      <c r="B91" s="5" t="s">
        <v>90</v>
      </c>
      <c r="C91" s="2">
        <v>778.03</v>
      </c>
      <c r="D91" s="2">
        <v>181.8</v>
      </c>
      <c r="E91" s="25"/>
      <c r="F91" s="26"/>
      <c r="G91" s="13">
        <f t="shared" si="4"/>
        <v>959.83</v>
      </c>
      <c r="H91" s="4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4"/>
      <c r="Z91" s="94"/>
      <c r="AA91" s="94"/>
      <c r="AB91" s="94"/>
      <c r="AC91" s="94"/>
      <c r="AD91" s="94"/>
      <c r="AE91" s="94"/>
      <c r="AF91" s="94"/>
    </row>
    <row r="92" spans="1:32" ht="16.5">
      <c r="A92" s="4">
        <f t="shared" si="5"/>
        <v>89</v>
      </c>
      <c r="B92" s="6" t="s">
        <v>91</v>
      </c>
      <c r="C92" s="2">
        <v>1464.43</v>
      </c>
      <c r="D92" s="2">
        <v>931.36</v>
      </c>
      <c r="E92" s="31"/>
      <c r="F92" s="4"/>
      <c r="G92" s="13">
        <f t="shared" si="4"/>
        <v>2395.79</v>
      </c>
      <c r="H92" s="4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4"/>
      <c r="Z92" s="94"/>
      <c r="AA92" s="94"/>
      <c r="AB92" s="94"/>
      <c r="AC92" s="94"/>
      <c r="AD92" s="94"/>
      <c r="AE92" s="94"/>
      <c r="AF92" s="94"/>
    </row>
    <row r="93" spans="1:32" ht="16.5">
      <c r="A93" s="4">
        <f t="shared" si="5"/>
        <v>90</v>
      </c>
      <c r="B93" s="5" t="s">
        <v>92</v>
      </c>
      <c r="C93" s="2">
        <v>75.67</v>
      </c>
      <c r="D93" s="2">
        <v>139.43</v>
      </c>
      <c r="E93" s="31"/>
      <c r="F93" s="4"/>
      <c r="G93" s="13">
        <f t="shared" si="4"/>
        <v>215.1</v>
      </c>
      <c r="H93" s="4"/>
      <c r="I93" s="137"/>
      <c r="J93" s="137"/>
      <c r="K93" s="138"/>
      <c r="L93" s="137"/>
      <c r="M93" s="137"/>
      <c r="N93" s="101"/>
      <c r="O93" s="99"/>
      <c r="P93" s="101"/>
      <c r="Q93" s="99"/>
      <c r="R93" s="99"/>
      <c r="S93" s="137"/>
      <c r="T93" s="137"/>
      <c r="U93" s="123"/>
      <c r="V93" s="99"/>
      <c r="W93" s="99"/>
      <c r="X93" s="99"/>
      <c r="Y93" s="94"/>
      <c r="Z93" s="94"/>
      <c r="AA93" s="94"/>
      <c r="AB93" s="94"/>
      <c r="AC93" s="94"/>
      <c r="AD93" s="94"/>
      <c r="AE93" s="94"/>
      <c r="AF93" s="94"/>
    </row>
    <row r="94" spans="1:32" ht="16.5">
      <c r="A94" s="4">
        <f t="shared" si="5"/>
        <v>91</v>
      </c>
      <c r="B94" s="5" t="s">
        <v>93</v>
      </c>
      <c r="C94" s="2">
        <v>8925.0300000000007</v>
      </c>
      <c r="D94" s="2">
        <v>4306.76</v>
      </c>
      <c r="E94" s="31"/>
      <c r="F94" s="4"/>
      <c r="G94" s="13">
        <f t="shared" si="4"/>
        <v>13231.79</v>
      </c>
      <c r="H94" s="4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4"/>
      <c r="Z94" s="94"/>
      <c r="AA94" s="94"/>
      <c r="AB94" s="94"/>
      <c r="AC94" s="94"/>
      <c r="AD94" s="94"/>
      <c r="AE94" s="94"/>
      <c r="AF94" s="94"/>
    </row>
    <row r="95" spans="1:32" ht="16.5">
      <c r="A95" s="4">
        <f t="shared" si="5"/>
        <v>92</v>
      </c>
      <c r="B95" s="5" t="s">
        <v>94</v>
      </c>
      <c r="C95" s="2">
        <v>637.33000000000004</v>
      </c>
      <c r="D95" s="2">
        <v>316.97000000000003</v>
      </c>
      <c r="E95" s="31"/>
      <c r="F95" s="4"/>
      <c r="G95" s="13">
        <f t="shared" si="4"/>
        <v>954.3</v>
      </c>
      <c r="H95" s="4"/>
      <c r="I95" s="94"/>
      <c r="J95" s="99"/>
      <c r="K95" s="99"/>
      <c r="L95" s="99"/>
      <c r="M95" s="99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</row>
    <row r="96" spans="1:32" ht="16.5">
      <c r="A96" s="4">
        <f t="shared" si="5"/>
        <v>93</v>
      </c>
      <c r="B96" s="5" t="s">
        <v>95</v>
      </c>
      <c r="C96" s="2">
        <v>231.1</v>
      </c>
      <c r="D96" s="2">
        <v>0</v>
      </c>
      <c r="E96" s="31"/>
      <c r="F96" s="4"/>
      <c r="G96" s="13">
        <f t="shared" si="4"/>
        <v>231.1</v>
      </c>
      <c r="I96" s="94"/>
      <c r="J96" s="99"/>
      <c r="K96" s="99"/>
      <c r="L96" s="99"/>
      <c r="M96" s="99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</row>
    <row r="97" spans="1:32" ht="16.5">
      <c r="A97" s="4">
        <f t="shared" si="5"/>
        <v>94</v>
      </c>
      <c r="B97" s="5" t="s">
        <v>96</v>
      </c>
      <c r="C97" s="2">
        <v>110.68</v>
      </c>
      <c r="D97" s="2">
        <v>32.700000000000003</v>
      </c>
      <c r="E97" s="31"/>
      <c r="F97" s="4"/>
      <c r="G97" s="13">
        <f t="shared" si="4"/>
        <v>143.38</v>
      </c>
      <c r="I97" s="94"/>
      <c r="J97" s="99"/>
      <c r="K97" s="99"/>
      <c r="L97" s="99"/>
      <c r="M97" s="99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</row>
    <row r="98" spans="1:32" ht="16.5">
      <c r="A98" s="4">
        <f t="shared" si="5"/>
        <v>95</v>
      </c>
      <c r="B98" s="5" t="s">
        <v>97</v>
      </c>
      <c r="C98" s="2">
        <v>4281.82</v>
      </c>
      <c r="D98" s="2">
        <v>1264.68</v>
      </c>
      <c r="E98" s="31"/>
      <c r="F98" s="4"/>
      <c r="G98" s="13">
        <f t="shared" si="4"/>
        <v>5546.5</v>
      </c>
      <c r="H98" s="4"/>
      <c r="I98" s="94"/>
      <c r="J98" s="99"/>
      <c r="K98" s="99"/>
      <c r="L98" s="99"/>
      <c r="M98" s="99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9"/>
      <c r="Y98" s="94"/>
      <c r="Z98" s="94"/>
      <c r="AA98" s="94"/>
      <c r="AB98" s="94"/>
      <c r="AC98" s="94"/>
      <c r="AD98" s="94"/>
      <c r="AE98" s="94"/>
      <c r="AF98" s="94"/>
    </row>
    <row r="99" spans="1:32" ht="16.5">
      <c r="A99" s="4">
        <f t="shared" si="5"/>
        <v>96</v>
      </c>
      <c r="B99" s="5" t="s">
        <v>98</v>
      </c>
      <c r="C99" s="2">
        <v>2398.6799999999998</v>
      </c>
      <c r="D99" s="2">
        <v>483.48</v>
      </c>
      <c r="E99" s="31"/>
      <c r="F99" s="4"/>
      <c r="G99" s="13">
        <f t="shared" si="4"/>
        <v>2882.16</v>
      </c>
      <c r="H99" s="4"/>
      <c r="I99" s="94"/>
      <c r="J99" s="99"/>
      <c r="K99" s="99"/>
      <c r="L99" s="99"/>
      <c r="M99" s="99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</row>
    <row r="100" spans="1:32" ht="16.5">
      <c r="A100" s="4">
        <f t="shared" si="5"/>
        <v>97</v>
      </c>
      <c r="B100" s="5" t="s">
        <v>99</v>
      </c>
      <c r="C100" s="2">
        <v>3530.02</v>
      </c>
      <c r="D100" s="2">
        <v>2258.15</v>
      </c>
      <c r="E100" s="31"/>
      <c r="F100" s="4"/>
      <c r="G100" s="13">
        <f t="shared" ref="G100:G110" si="6">C100+D100</f>
        <v>5788.17</v>
      </c>
      <c r="H100" s="4"/>
      <c r="I100" s="94"/>
      <c r="J100" s="99"/>
      <c r="K100" s="99"/>
      <c r="L100" s="99"/>
      <c r="M100" s="99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</row>
    <row r="101" spans="1:32" ht="16.5">
      <c r="A101" s="4">
        <f t="shared" si="5"/>
        <v>98</v>
      </c>
      <c r="B101" s="5" t="s">
        <v>100</v>
      </c>
      <c r="C101" s="2">
        <v>506.88</v>
      </c>
      <c r="D101" s="2">
        <v>128.11000000000001</v>
      </c>
      <c r="E101" s="31"/>
      <c r="F101" s="4"/>
      <c r="G101" s="13">
        <f t="shared" si="6"/>
        <v>634.99</v>
      </c>
      <c r="H101" s="4"/>
      <c r="I101" s="94"/>
      <c r="J101" s="99"/>
      <c r="K101" s="99"/>
      <c r="L101" s="99"/>
      <c r="M101" s="99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</row>
    <row r="102" spans="1:32" ht="16.5">
      <c r="A102" s="4">
        <f t="shared" ref="A102:A109" si="7">1+A101</f>
        <v>99</v>
      </c>
      <c r="B102" s="5" t="s">
        <v>101</v>
      </c>
      <c r="C102" s="2">
        <v>4872.8100000000004</v>
      </c>
      <c r="D102" s="2">
        <v>1040.27</v>
      </c>
      <c r="E102" s="4"/>
      <c r="F102" s="4"/>
      <c r="G102" s="13">
        <f t="shared" si="6"/>
        <v>5913.08</v>
      </c>
      <c r="H102" s="4"/>
      <c r="I102" s="94"/>
      <c r="J102" s="99"/>
      <c r="K102" s="99"/>
      <c r="L102" s="99"/>
      <c r="M102" s="99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</row>
    <row r="103" spans="1:32" ht="16.5">
      <c r="A103" s="4">
        <f t="shared" si="7"/>
        <v>100</v>
      </c>
      <c r="B103" s="5" t="s">
        <v>102</v>
      </c>
      <c r="C103" s="2">
        <v>3200.65</v>
      </c>
      <c r="D103" s="2">
        <v>283.18</v>
      </c>
      <c r="E103" s="4"/>
      <c r="F103" s="4"/>
      <c r="G103" s="13">
        <f t="shared" si="6"/>
        <v>3483.83</v>
      </c>
      <c r="H103" s="4"/>
      <c r="I103" s="94"/>
      <c r="J103" s="99"/>
      <c r="K103" s="99"/>
      <c r="L103" s="99"/>
      <c r="M103" s="99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</row>
    <row r="104" spans="1:32" ht="15.75">
      <c r="A104" s="4">
        <f t="shared" si="7"/>
        <v>101</v>
      </c>
      <c r="B104" s="7" t="s">
        <v>108</v>
      </c>
      <c r="C104" s="8">
        <v>267.85000000000002</v>
      </c>
      <c r="D104" s="4">
        <v>83.25</v>
      </c>
      <c r="E104" s="4"/>
      <c r="F104" s="4"/>
      <c r="G104" s="13">
        <f t="shared" si="6"/>
        <v>351.1</v>
      </c>
      <c r="H104" s="4"/>
      <c r="I104" s="94"/>
      <c r="J104" s="99"/>
      <c r="K104" s="99"/>
      <c r="L104" s="99"/>
      <c r="M104" s="99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</row>
    <row r="105" spans="1:32" ht="15.75">
      <c r="A105" s="4">
        <f t="shared" si="7"/>
        <v>102</v>
      </c>
      <c r="B105" s="9" t="s">
        <v>110</v>
      </c>
      <c r="C105" s="4">
        <v>1050</v>
      </c>
      <c r="D105" s="4">
        <v>100</v>
      </c>
      <c r="E105" s="4"/>
      <c r="F105" s="4"/>
      <c r="G105" s="13">
        <f t="shared" si="6"/>
        <v>1150</v>
      </c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</row>
    <row r="106" spans="1:32" ht="15.75">
      <c r="A106" s="4">
        <f t="shared" si="7"/>
        <v>103</v>
      </c>
      <c r="B106" s="9" t="s">
        <v>111</v>
      </c>
      <c r="C106" s="4">
        <v>710</v>
      </c>
      <c r="D106" s="4">
        <v>170</v>
      </c>
      <c r="E106" s="4"/>
      <c r="F106" s="4"/>
      <c r="G106" s="13">
        <f t="shared" si="6"/>
        <v>880</v>
      </c>
      <c r="H106" s="4"/>
      <c r="I106" s="94"/>
      <c r="J106" s="99"/>
      <c r="K106" s="99"/>
      <c r="L106" s="99"/>
      <c r="M106" s="99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</row>
    <row r="107" spans="1:32" ht="15.75">
      <c r="A107" s="4">
        <f t="shared" si="7"/>
        <v>104</v>
      </c>
      <c r="B107" s="9" t="s">
        <v>107</v>
      </c>
      <c r="C107" s="4">
        <v>370</v>
      </c>
      <c r="D107" s="4">
        <v>30</v>
      </c>
      <c r="E107" s="4"/>
      <c r="F107" s="4"/>
      <c r="G107" s="13">
        <f t="shared" si="6"/>
        <v>400</v>
      </c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</row>
    <row r="108" spans="1:32" ht="15.75">
      <c r="A108" s="4">
        <f t="shared" si="7"/>
        <v>105</v>
      </c>
      <c r="B108" s="9" t="s">
        <v>109</v>
      </c>
      <c r="C108" s="4">
        <v>700</v>
      </c>
      <c r="D108" s="4">
        <v>1340</v>
      </c>
      <c r="E108" s="4"/>
      <c r="F108" s="4"/>
      <c r="G108" s="13">
        <f t="shared" si="6"/>
        <v>2040</v>
      </c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9"/>
      <c r="Y108" s="94"/>
      <c r="Z108" s="94"/>
      <c r="AA108" s="94"/>
      <c r="AB108" s="94"/>
      <c r="AC108" s="94"/>
      <c r="AD108" s="94"/>
      <c r="AE108" s="94"/>
      <c r="AF108" s="94"/>
    </row>
    <row r="109" spans="1:32" ht="15.75">
      <c r="A109" s="4">
        <f t="shared" si="7"/>
        <v>106</v>
      </c>
      <c r="B109" s="9" t="s">
        <v>106</v>
      </c>
      <c r="C109" s="4">
        <v>800</v>
      </c>
      <c r="D109" s="4">
        <v>650</v>
      </c>
      <c r="E109" s="4"/>
      <c r="F109" s="4"/>
      <c r="G109" s="13">
        <f t="shared" si="6"/>
        <v>1450</v>
      </c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9"/>
      <c r="X109" s="99"/>
      <c r="Y109" s="94"/>
      <c r="Z109" s="94"/>
      <c r="AA109" s="94"/>
      <c r="AB109" s="94"/>
      <c r="AC109" s="94"/>
      <c r="AD109" s="94"/>
      <c r="AE109" s="94"/>
      <c r="AF109" s="94"/>
    </row>
    <row r="110" spans="1:32">
      <c r="A110" s="4"/>
      <c r="B110" s="4"/>
      <c r="C110" s="32">
        <f>SUM(C4:C109)</f>
        <v>83691.811000000002</v>
      </c>
      <c r="D110" s="32">
        <f>SUM(D4:D109)</f>
        <v>46320.91</v>
      </c>
      <c r="E110" s="4"/>
      <c r="F110" s="4"/>
      <c r="G110" s="32">
        <f t="shared" si="6"/>
        <v>130012.72100000001</v>
      </c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9"/>
      <c r="X110" s="99"/>
      <c r="Y110" s="94"/>
      <c r="Z110" s="94"/>
      <c r="AA110" s="94"/>
      <c r="AB110" s="94"/>
      <c r="AC110" s="94"/>
      <c r="AD110" s="94"/>
      <c r="AE110" s="94"/>
      <c r="AF110" s="94"/>
    </row>
    <row r="111" spans="1:32" ht="15.75">
      <c r="A111" s="4"/>
      <c r="B111" s="10" t="s">
        <v>3</v>
      </c>
      <c r="C111" s="12">
        <v>276.27999999999997</v>
      </c>
      <c r="D111" s="33"/>
      <c r="E111" s="33"/>
      <c r="F111" s="10" t="s">
        <v>3</v>
      </c>
      <c r="G111" s="12">
        <v>290.99</v>
      </c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</row>
    <row r="112" spans="1:32" ht="18" customHeight="1">
      <c r="A112" s="34"/>
      <c r="B112" s="84" t="s">
        <v>113</v>
      </c>
      <c r="C112" s="85"/>
      <c r="D112" s="35"/>
      <c r="E112" s="36"/>
      <c r="F112" s="86" t="s">
        <v>114</v>
      </c>
      <c r="G112" s="87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spans="1:32" ht="15.75">
      <c r="A113" s="37"/>
      <c r="B113" s="88">
        <v>45904</v>
      </c>
      <c r="C113" s="89"/>
      <c r="D113" s="38"/>
      <c r="E113" s="39"/>
      <c r="F113" s="88">
        <v>45904</v>
      </c>
      <c r="G113" s="89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</row>
    <row r="114" spans="1:32" ht="15.75">
      <c r="A114" s="40" t="s">
        <v>105</v>
      </c>
      <c r="B114" s="24" t="s">
        <v>104</v>
      </c>
      <c r="C114" s="41" t="s">
        <v>115</v>
      </c>
      <c r="D114" s="42"/>
      <c r="E114" s="43"/>
      <c r="F114" s="24" t="s">
        <v>104</v>
      </c>
      <c r="G114" s="44" t="s">
        <v>116</v>
      </c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5" spans="1:32" ht="15.75">
      <c r="A115" s="45">
        <v>1</v>
      </c>
      <c r="B115" s="14" t="s">
        <v>93</v>
      </c>
      <c r="C115" s="16">
        <v>8925.0300000000007</v>
      </c>
      <c r="D115" s="33"/>
      <c r="E115" s="33"/>
      <c r="F115" s="14" t="s">
        <v>41</v>
      </c>
      <c r="G115" s="16">
        <v>4469.09</v>
      </c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</row>
    <row r="116" spans="1:32" ht="15.75">
      <c r="A116" s="45">
        <v>2</v>
      </c>
      <c r="B116" s="10" t="s">
        <v>41</v>
      </c>
      <c r="C116" s="12">
        <v>5002.09</v>
      </c>
      <c r="D116" s="33"/>
      <c r="E116" s="33"/>
      <c r="F116" s="10" t="s">
        <v>93</v>
      </c>
      <c r="G116" s="12">
        <v>4306.76</v>
      </c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1:32" ht="15.75">
      <c r="A117" s="45">
        <f t="shared" ref="A117:A148" si="8">1+A116</f>
        <v>3</v>
      </c>
      <c r="B117" s="14" t="s">
        <v>101</v>
      </c>
      <c r="C117" s="16">
        <v>4872.8100000000004</v>
      </c>
      <c r="D117" s="1"/>
      <c r="E117" s="1"/>
      <c r="F117" s="14" t="s">
        <v>12</v>
      </c>
      <c r="G117" s="16">
        <v>2378.29</v>
      </c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</row>
    <row r="118" spans="1:32" ht="15.75">
      <c r="A118" s="45">
        <f t="shared" si="8"/>
        <v>4</v>
      </c>
      <c r="B118" s="14" t="s">
        <v>97</v>
      </c>
      <c r="C118" s="16">
        <v>4281.82</v>
      </c>
      <c r="D118" s="1"/>
      <c r="E118" s="1"/>
      <c r="F118" s="14" t="s">
        <v>99</v>
      </c>
      <c r="G118" s="16">
        <v>2258.15</v>
      </c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</row>
    <row r="119" spans="1:32" ht="15.75">
      <c r="A119" s="45">
        <f t="shared" si="8"/>
        <v>5</v>
      </c>
      <c r="B119" s="14" t="s">
        <v>51</v>
      </c>
      <c r="C119" s="16">
        <v>3590.86</v>
      </c>
      <c r="F119" s="14" t="s">
        <v>49</v>
      </c>
      <c r="G119" s="16">
        <v>2257.17</v>
      </c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</row>
    <row r="120" spans="1:32" ht="15.75">
      <c r="A120" s="45">
        <f t="shared" si="8"/>
        <v>6</v>
      </c>
      <c r="B120" s="14" t="s">
        <v>99</v>
      </c>
      <c r="C120" s="16">
        <v>3530.02</v>
      </c>
      <c r="F120" s="14" t="s">
        <v>74</v>
      </c>
      <c r="G120" s="16">
        <v>1481.25</v>
      </c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</row>
    <row r="121" spans="1:32" ht="15.75">
      <c r="A121" s="45">
        <f t="shared" si="8"/>
        <v>7</v>
      </c>
      <c r="B121" s="14" t="s">
        <v>102</v>
      </c>
      <c r="C121" s="16">
        <v>3200.65</v>
      </c>
      <c r="F121" s="14" t="s">
        <v>86</v>
      </c>
      <c r="G121" s="16">
        <v>1400.3</v>
      </c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</row>
    <row r="122" spans="1:32" ht="15.75">
      <c r="A122" s="45">
        <f t="shared" si="8"/>
        <v>8</v>
      </c>
      <c r="B122" s="14" t="s">
        <v>81</v>
      </c>
      <c r="C122" s="16">
        <v>2517.14</v>
      </c>
      <c r="F122" s="14" t="s">
        <v>109</v>
      </c>
      <c r="G122" s="16">
        <v>1340</v>
      </c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</row>
    <row r="123" spans="1:32" ht="16.149999999999999" customHeight="1">
      <c r="A123" s="45">
        <f t="shared" si="8"/>
        <v>9</v>
      </c>
      <c r="B123" s="14" t="s">
        <v>98</v>
      </c>
      <c r="C123" s="16">
        <v>2398.6799999999998</v>
      </c>
      <c r="F123" s="14" t="s">
        <v>97</v>
      </c>
      <c r="G123" s="16">
        <v>1264.68</v>
      </c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</row>
    <row r="124" spans="1:32" ht="15.75">
      <c r="A124" s="45">
        <f t="shared" si="8"/>
        <v>10</v>
      </c>
      <c r="B124" s="14" t="s">
        <v>66</v>
      </c>
      <c r="C124" s="16">
        <v>2033.22</v>
      </c>
      <c r="F124" s="14" t="s">
        <v>53</v>
      </c>
      <c r="G124" s="16">
        <v>1227.4659999999999</v>
      </c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</row>
    <row r="125" spans="1:32" ht="16.899999999999999" customHeight="1">
      <c r="A125" s="45">
        <f t="shared" si="8"/>
        <v>11</v>
      </c>
      <c r="B125" s="14" t="s">
        <v>87</v>
      </c>
      <c r="C125" s="16">
        <v>1772.66</v>
      </c>
      <c r="F125" s="14" t="s">
        <v>26</v>
      </c>
      <c r="G125" s="16">
        <v>1191.8699999999999</v>
      </c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</row>
    <row r="126" spans="1:32" ht="15.75">
      <c r="A126" s="45">
        <f t="shared" si="8"/>
        <v>12</v>
      </c>
      <c r="B126" s="14" t="s">
        <v>79</v>
      </c>
      <c r="C126" s="16">
        <v>1614.08</v>
      </c>
      <c r="F126" s="14" t="s">
        <v>66</v>
      </c>
      <c r="G126" s="16">
        <v>1053.26</v>
      </c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</row>
    <row r="127" spans="1:32" ht="15.75">
      <c r="A127" s="45">
        <f t="shared" si="8"/>
        <v>13</v>
      </c>
      <c r="B127" s="14" t="s">
        <v>24</v>
      </c>
      <c r="C127" s="16">
        <v>1544.4</v>
      </c>
      <c r="F127" s="14" t="s">
        <v>101</v>
      </c>
      <c r="G127" s="16">
        <v>1040.27</v>
      </c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</row>
    <row r="128" spans="1:32" ht="15.75">
      <c r="A128" s="45">
        <f t="shared" si="8"/>
        <v>14</v>
      </c>
      <c r="B128" s="14" t="s">
        <v>91</v>
      </c>
      <c r="C128" s="16">
        <v>1464.43</v>
      </c>
      <c r="F128" s="14" t="s">
        <v>91</v>
      </c>
      <c r="G128" s="16">
        <v>931.36</v>
      </c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</row>
    <row r="129" spans="1:32" ht="15.75">
      <c r="A129" s="45">
        <f t="shared" si="8"/>
        <v>15</v>
      </c>
      <c r="B129" s="14" t="s">
        <v>36</v>
      </c>
      <c r="C129" s="16">
        <v>1331.35</v>
      </c>
      <c r="F129" s="14" t="s">
        <v>87</v>
      </c>
      <c r="G129" s="16">
        <v>853.17</v>
      </c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</row>
    <row r="130" spans="1:32" ht="15.75">
      <c r="A130" s="45">
        <f t="shared" si="8"/>
        <v>16</v>
      </c>
      <c r="B130" s="14" t="s">
        <v>88</v>
      </c>
      <c r="C130" s="16">
        <v>1314.66</v>
      </c>
      <c r="F130" s="14" t="s">
        <v>48</v>
      </c>
      <c r="G130" s="16">
        <v>754.47</v>
      </c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</row>
    <row r="131" spans="1:32" ht="15.75">
      <c r="A131" s="45">
        <f t="shared" si="8"/>
        <v>17</v>
      </c>
      <c r="B131" s="14" t="s">
        <v>56</v>
      </c>
      <c r="C131" s="16">
        <v>1298.1410000000001</v>
      </c>
      <c r="F131" s="14" t="s">
        <v>13</v>
      </c>
      <c r="G131" s="16">
        <v>754.42</v>
      </c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</row>
    <row r="132" spans="1:32" ht="15.75">
      <c r="A132" s="45">
        <f t="shared" si="8"/>
        <v>18</v>
      </c>
      <c r="B132" s="14" t="s">
        <v>8</v>
      </c>
      <c r="C132" s="16">
        <v>1223.01</v>
      </c>
      <c r="F132" s="14" t="s">
        <v>67</v>
      </c>
      <c r="G132" s="16">
        <v>736.55</v>
      </c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</row>
    <row r="133" spans="1:32" ht="15.75">
      <c r="A133" s="45">
        <f t="shared" si="8"/>
        <v>19</v>
      </c>
      <c r="B133" s="14" t="s">
        <v>26</v>
      </c>
      <c r="C133" s="16">
        <v>1208.8699999999999</v>
      </c>
      <c r="F133" s="14" t="s">
        <v>50</v>
      </c>
      <c r="G133" s="16">
        <v>657.45</v>
      </c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</row>
    <row r="134" spans="1:32" ht="15.75">
      <c r="A134" s="45">
        <f t="shared" si="8"/>
        <v>20</v>
      </c>
      <c r="B134" s="14" t="s">
        <v>17</v>
      </c>
      <c r="C134" s="16">
        <v>1128.96</v>
      </c>
      <c r="F134" s="14" t="s">
        <v>106</v>
      </c>
      <c r="G134" s="16">
        <v>650</v>
      </c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</row>
    <row r="135" spans="1:32" ht="15.75">
      <c r="A135" s="45">
        <f t="shared" si="8"/>
        <v>21</v>
      </c>
      <c r="B135" s="14" t="s">
        <v>12</v>
      </c>
      <c r="C135" s="16">
        <v>1112.1199999999999</v>
      </c>
      <c r="F135" s="14" t="s">
        <v>8</v>
      </c>
      <c r="G135" s="16">
        <v>570.09</v>
      </c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</row>
    <row r="136" spans="1:32" ht="15.75">
      <c r="A136" s="45">
        <f t="shared" si="8"/>
        <v>22</v>
      </c>
      <c r="B136" s="14" t="s">
        <v>80</v>
      </c>
      <c r="C136" s="16">
        <v>1053.3</v>
      </c>
      <c r="F136" s="14" t="s">
        <v>36</v>
      </c>
      <c r="G136" s="16">
        <v>559.73</v>
      </c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</row>
    <row r="137" spans="1:32" ht="15.75">
      <c r="A137" s="45">
        <f t="shared" si="8"/>
        <v>23</v>
      </c>
      <c r="B137" s="14" t="s">
        <v>110</v>
      </c>
      <c r="C137" s="16">
        <v>1050</v>
      </c>
      <c r="F137" s="14" t="s">
        <v>24</v>
      </c>
      <c r="G137" s="16">
        <v>555.53</v>
      </c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</row>
    <row r="138" spans="1:32" ht="15.75">
      <c r="A138" s="45">
        <f t="shared" si="8"/>
        <v>24</v>
      </c>
      <c r="B138" s="14" t="s">
        <v>29</v>
      </c>
      <c r="C138" s="16">
        <v>1017.9</v>
      </c>
      <c r="F138" s="14" t="s">
        <v>39</v>
      </c>
      <c r="G138" s="16">
        <v>499.71</v>
      </c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</row>
    <row r="139" spans="1:32" ht="15.75">
      <c r="A139" s="45">
        <f t="shared" si="8"/>
        <v>25</v>
      </c>
      <c r="B139" s="14" t="s">
        <v>40</v>
      </c>
      <c r="C139" s="16">
        <v>800.39</v>
      </c>
      <c r="F139" s="14" t="s">
        <v>98</v>
      </c>
      <c r="G139" s="16">
        <v>483.48</v>
      </c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</row>
    <row r="140" spans="1:32" ht="15.75">
      <c r="A140" s="45">
        <f t="shared" si="8"/>
        <v>26</v>
      </c>
      <c r="B140" s="14" t="s">
        <v>106</v>
      </c>
      <c r="C140" s="16">
        <v>800</v>
      </c>
      <c r="F140" s="14" t="s">
        <v>76</v>
      </c>
      <c r="G140" s="16">
        <v>445.83</v>
      </c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</row>
    <row r="141" spans="1:32" ht="15.75">
      <c r="A141" s="45">
        <f t="shared" si="8"/>
        <v>27</v>
      </c>
      <c r="B141" s="14" t="s">
        <v>86</v>
      </c>
      <c r="C141" s="16">
        <v>781.4</v>
      </c>
      <c r="F141" s="14" t="s">
        <v>51</v>
      </c>
      <c r="G141" s="16">
        <v>426.67</v>
      </c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</row>
    <row r="142" spans="1:32" ht="15.75">
      <c r="A142" s="45">
        <f t="shared" si="8"/>
        <v>28</v>
      </c>
      <c r="B142" s="14" t="s">
        <v>90</v>
      </c>
      <c r="C142" s="16">
        <v>778.03</v>
      </c>
      <c r="F142" s="14" t="s">
        <v>62</v>
      </c>
      <c r="G142" s="16">
        <v>416.97</v>
      </c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</row>
    <row r="143" spans="1:32" ht="15.75">
      <c r="A143" s="45">
        <f t="shared" si="8"/>
        <v>29</v>
      </c>
      <c r="B143" s="14" t="s">
        <v>55</v>
      </c>
      <c r="C143" s="16">
        <v>715.05</v>
      </c>
      <c r="F143" s="14" t="s">
        <v>55</v>
      </c>
      <c r="G143" s="16">
        <v>404.93</v>
      </c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</row>
    <row r="144" spans="1:32" ht="15.75">
      <c r="A144" s="45">
        <f t="shared" si="8"/>
        <v>30</v>
      </c>
      <c r="B144" s="14" t="s">
        <v>68</v>
      </c>
      <c r="C144" s="16">
        <v>710.98</v>
      </c>
      <c r="F144" s="14" t="s">
        <v>37</v>
      </c>
      <c r="G144" s="16">
        <v>394.08</v>
      </c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</row>
    <row r="145" spans="1:32" ht="15.75">
      <c r="A145" s="45">
        <f t="shared" si="8"/>
        <v>31</v>
      </c>
      <c r="B145" s="14" t="s">
        <v>111</v>
      </c>
      <c r="C145" s="16">
        <v>710</v>
      </c>
      <c r="F145" s="14" t="s">
        <v>45</v>
      </c>
      <c r="G145" s="16">
        <v>392.48</v>
      </c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</row>
    <row r="146" spans="1:32" ht="15.75">
      <c r="A146" s="45">
        <f t="shared" si="8"/>
        <v>32</v>
      </c>
      <c r="B146" s="14" t="s">
        <v>74</v>
      </c>
      <c r="C146" s="16">
        <v>701.09</v>
      </c>
      <c r="F146" s="14" t="s">
        <v>56</v>
      </c>
      <c r="G146" s="16">
        <v>358.83699999999999</v>
      </c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</row>
    <row r="147" spans="1:32" ht="15.75">
      <c r="A147" s="45">
        <f t="shared" si="8"/>
        <v>33</v>
      </c>
      <c r="B147" s="14" t="s">
        <v>109</v>
      </c>
      <c r="C147" s="16">
        <v>700</v>
      </c>
      <c r="F147" s="14" t="s">
        <v>33</v>
      </c>
      <c r="G147" s="16">
        <v>338.08</v>
      </c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</row>
    <row r="148" spans="1:32" ht="15.75">
      <c r="A148" s="45">
        <f t="shared" si="8"/>
        <v>34</v>
      </c>
      <c r="B148" s="14" t="s">
        <v>10</v>
      </c>
      <c r="C148" s="16">
        <v>670.48</v>
      </c>
      <c r="F148" s="14" t="s">
        <v>40</v>
      </c>
      <c r="G148" s="16">
        <v>329.93</v>
      </c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</row>
    <row r="149" spans="1:32" ht="15.75">
      <c r="A149" s="45">
        <f t="shared" ref="A149:A180" si="9">1+A148</f>
        <v>35</v>
      </c>
      <c r="B149" s="14" t="s">
        <v>53</v>
      </c>
      <c r="C149" s="16">
        <v>652.73</v>
      </c>
      <c r="F149" s="14" t="s">
        <v>94</v>
      </c>
      <c r="G149" s="16">
        <v>316.97000000000003</v>
      </c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</row>
    <row r="150" spans="1:32" ht="15.75">
      <c r="A150" s="45">
        <f t="shared" si="9"/>
        <v>36</v>
      </c>
      <c r="B150" s="14" t="s">
        <v>94</v>
      </c>
      <c r="C150" s="16">
        <v>637.33000000000004</v>
      </c>
      <c r="F150" s="14" t="s">
        <v>61</v>
      </c>
      <c r="G150" s="16">
        <v>309.22000000000003</v>
      </c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</row>
    <row r="151" spans="1:32" ht="15.75">
      <c r="A151" s="45">
        <f t="shared" si="9"/>
        <v>37</v>
      </c>
      <c r="B151" s="14" t="s">
        <v>82</v>
      </c>
      <c r="C151" s="16">
        <v>633.25</v>
      </c>
      <c r="F151" s="14" t="s">
        <v>72</v>
      </c>
      <c r="G151" s="16">
        <v>307.14</v>
      </c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</row>
    <row r="152" spans="1:32" ht="15.75">
      <c r="A152" s="45">
        <f t="shared" si="9"/>
        <v>38</v>
      </c>
      <c r="B152" s="14" t="s">
        <v>64</v>
      </c>
      <c r="C152" s="16">
        <v>617.24</v>
      </c>
      <c r="F152" s="14" t="s">
        <v>25</v>
      </c>
      <c r="G152" s="16">
        <v>293.73</v>
      </c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</row>
    <row r="153" spans="1:32" ht="15.75">
      <c r="A153" s="45">
        <f t="shared" si="9"/>
        <v>39</v>
      </c>
      <c r="B153" s="14" t="s">
        <v>73</v>
      </c>
      <c r="C153" s="16">
        <v>586.47</v>
      </c>
      <c r="F153" s="14" t="s">
        <v>3</v>
      </c>
      <c r="G153" s="16">
        <v>290.99</v>
      </c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9"/>
      <c r="AB153" s="94"/>
      <c r="AC153" s="94"/>
      <c r="AD153" s="94"/>
      <c r="AE153" s="94"/>
      <c r="AF153" s="94"/>
    </row>
    <row r="154" spans="1:32" ht="15.75">
      <c r="A154" s="45">
        <f t="shared" si="9"/>
        <v>40</v>
      </c>
      <c r="B154" s="14" t="s">
        <v>35</v>
      </c>
      <c r="C154" s="16">
        <v>578.41</v>
      </c>
      <c r="F154" s="14" t="s">
        <v>102</v>
      </c>
      <c r="G154" s="16">
        <v>283.18</v>
      </c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9"/>
      <c r="AB154" s="94"/>
      <c r="AC154" s="94"/>
      <c r="AD154" s="94"/>
      <c r="AE154" s="94"/>
      <c r="AF154" s="94"/>
    </row>
    <row r="155" spans="1:32" ht="15.75">
      <c r="A155" s="45">
        <f t="shared" si="9"/>
        <v>41</v>
      </c>
      <c r="B155" s="14" t="s">
        <v>13</v>
      </c>
      <c r="C155" s="16">
        <v>552.65</v>
      </c>
      <c r="F155" s="14" t="s">
        <v>85</v>
      </c>
      <c r="G155" s="16">
        <v>279.86</v>
      </c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9"/>
      <c r="AB155" s="94"/>
      <c r="AC155" s="94"/>
      <c r="AD155" s="94"/>
      <c r="AE155" s="94"/>
      <c r="AF155" s="94"/>
    </row>
    <row r="156" spans="1:32" ht="15.75">
      <c r="A156" s="45">
        <f t="shared" si="9"/>
        <v>42</v>
      </c>
      <c r="B156" s="14" t="s">
        <v>23</v>
      </c>
      <c r="C156" s="16">
        <v>512.71</v>
      </c>
      <c r="F156" s="14" t="s">
        <v>73</v>
      </c>
      <c r="G156" s="16">
        <v>279.05</v>
      </c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9"/>
      <c r="AB156" s="94"/>
      <c r="AC156" s="94"/>
      <c r="AD156" s="94"/>
      <c r="AE156" s="94"/>
      <c r="AF156" s="94"/>
    </row>
    <row r="157" spans="1:32" ht="15.75">
      <c r="A157" s="45">
        <f t="shared" si="9"/>
        <v>43</v>
      </c>
      <c r="B157" s="14" t="s">
        <v>100</v>
      </c>
      <c r="C157" s="16">
        <v>506.88</v>
      </c>
      <c r="F157" s="14" t="s">
        <v>38</v>
      </c>
      <c r="G157" s="16">
        <v>270.36</v>
      </c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9"/>
      <c r="AB157" s="94"/>
      <c r="AC157" s="94"/>
      <c r="AD157" s="94"/>
      <c r="AE157" s="94"/>
      <c r="AF157" s="94"/>
    </row>
    <row r="158" spans="1:32" ht="15.75">
      <c r="A158" s="45">
        <f t="shared" si="9"/>
        <v>44</v>
      </c>
      <c r="B158" s="14" t="s">
        <v>38</v>
      </c>
      <c r="C158" s="16">
        <v>481.53</v>
      </c>
      <c r="F158" s="14" t="s">
        <v>79</v>
      </c>
      <c r="G158" s="16">
        <v>254.75</v>
      </c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9"/>
      <c r="AB158" s="94"/>
      <c r="AC158" s="94"/>
      <c r="AD158" s="94"/>
      <c r="AE158" s="94"/>
      <c r="AF158" s="94"/>
    </row>
    <row r="159" spans="1:32" ht="15.75">
      <c r="A159" s="45">
        <f t="shared" si="9"/>
        <v>45</v>
      </c>
      <c r="B159" s="14" t="s">
        <v>14</v>
      </c>
      <c r="C159" s="16">
        <v>457.24</v>
      </c>
      <c r="F159" s="14" t="s">
        <v>58</v>
      </c>
      <c r="G159" s="16">
        <v>254.38</v>
      </c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9"/>
      <c r="AB159" s="94"/>
      <c r="AC159" s="94"/>
      <c r="AD159" s="94"/>
      <c r="AE159" s="94"/>
      <c r="AF159" s="94"/>
    </row>
    <row r="160" spans="1:32" ht="15.75">
      <c r="A160" s="45">
        <f t="shared" si="9"/>
        <v>46</v>
      </c>
      <c r="B160" s="14" t="s">
        <v>9</v>
      </c>
      <c r="C160" s="16">
        <v>442.71</v>
      </c>
      <c r="F160" s="14" t="s">
        <v>64</v>
      </c>
      <c r="G160" s="16">
        <v>248.97</v>
      </c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9"/>
      <c r="AB160" s="94"/>
      <c r="AC160" s="94"/>
      <c r="AD160" s="94"/>
      <c r="AE160" s="94"/>
      <c r="AF160" s="94"/>
    </row>
    <row r="161" spans="1:32" ht="15.75">
      <c r="A161" s="45">
        <f t="shared" si="9"/>
        <v>47</v>
      </c>
      <c r="B161" s="14" t="s">
        <v>83</v>
      </c>
      <c r="C161" s="16">
        <v>432.03</v>
      </c>
      <c r="F161" s="14" t="s">
        <v>63</v>
      </c>
      <c r="G161" s="16">
        <v>243.93</v>
      </c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9"/>
      <c r="AB161" s="94"/>
      <c r="AC161" s="94"/>
      <c r="AD161" s="94"/>
      <c r="AE161" s="94"/>
      <c r="AF161" s="94"/>
    </row>
    <row r="162" spans="1:32" ht="15.75">
      <c r="A162" s="45">
        <f t="shared" si="9"/>
        <v>48</v>
      </c>
      <c r="B162" s="14" t="s">
        <v>49</v>
      </c>
      <c r="C162" s="16">
        <v>416.14</v>
      </c>
      <c r="F162" s="14" t="s">
        <v>15</v>
      </c>
      <c r="G162" s="16">
        <v>236.74</v>
      </c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9"/>
      <c r="AB162" s="94"/>
      <c r="AC162" s="94"/>
      <c r="AD162" s="94"/>
      <c r="AE162" s="94"/>
      <c r="AF162" s="94"/>
    </row>
    <row r="163" spans="1:32" ht="15.75">
      <c r="A163" s="45">
        <f t="shared" si="9"/>
        <v>49</v>
      </c>
      <c r="B163" s="14" t="s">
        <v>71</v>
      </c>
      <c r="C163" s="16">
        <v>408.1</v>
      </c>
      <c r="F163" s="14" t="s">
        <v>17</v>
      </c>
      <c r="G163" s="16">
        <v>224.24</v>
      </c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9"/>
      <c r="AB163" s="94"/>
      <c r="AC163" s="94"/>
      <c r="AD163" s="94"/>
      <c r="AE163" s="94"/>
      <c r="AF163" s="94"/>
    </row>
    <row r="164" spans="1:32" ht="15.75">
      <c r="A164" s="45">
        <f t="shared" si="9"/>
        <v>50</v>
      </c>
      <c r="B164" s="14" t="s">
        <v>33</v>
      </c>
      <c r="C164" s="16">
        <v>396.83</v>
      </c>
      <c r="F164" s="14" t="s">
        <v>82</v>
      </c>
      <c r="G164" s="16">
        <v>217.63</v>
      </c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9"/>
      <c r="AB164" s="94"/>
      <c r="AC164" s="94"/>
      <c r="AD164" s="94"/>
      <c r="AE164" s="94"/>
      <c r="AF164" s="94"/>
    </row>
    <row r="165" spans="1:32" ht="15.75">
      <c r="A165" s="45">
        <f t="shared" si="9"/>
        <v>51</v>
      </c>
      <c r="B165" s="14" t="s">
        <v>61</v>
      </c>
      <c r="C165" s="16">
        <v>386.86</v>
      </c>
      <c r="F165" s="14" t="s">
        <v>68</v>
      </c>
      <c r="G165" s="16">
        <v>206.73</v>
      </c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9"/>
      <c r="AB165" s="94"/>
      <c r="AC165" s="94"/>
      <c r="AD165" s="94"/>
      <c r="AE165" s="94"/>
      <c r="AF165" s="94"/>
    </row>
    <row r="166" spans="1:32" ht="15.75">
      <c r="A166" s="45">
        <f t="shared" si="9"/>
        <v>52</v>
      </c>
      <c r="B166" s="14" t="s">
        <v>22</v>
      </c>
      <c r="C166" s="16">
        <v>382.39</v>
      </c>
      <c r="F166" s="14" t="s">
        <v>65</v>
      </c>
      <c r="G166" s="16">
        <v>203.37</v>
      </c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9"/>
      <c r="AB166" s="94"/>
      <c r="AC166" s="94"/>
      <c r="AD166" s="94"/>
      <c r="AE166" s="94"/>
      <c r="AF166" s="94"/>
    </row>
    <row r="167" spans="1:32" ht="15.75">
      <c r="A167" s="45">
        <f t="shared" si="9"/>
        <v>53</v>
      </c>
      <c r="B167" s="14" t="s">
        <v>76</v>
      </c>
      <c r="C167" s="16">
        <v>376.36</v>
      </c>
      <c r="F167" s="14" t="s">
        <v>14</v>
      </c>
      <c r="G167" s="16">
        <v>194.84</v>
      </c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9"/>
      <c r="AB167" s="94"/>
      <c r="AC167" s="94"/>
      <c r="AD167" s="94"/>
      <c r="AE167" s="94"/>
      <c r="AF167" s="94"/>
    </row>
    <row r="168" spans="1:32" ht="15.75">
      <c r="A168" s="45">
        <f t="shared" si="9"/>
        <v>54</v>
      </c>
      <c r="B168" s="14" t="s">
        <v>107</v>
      </c>
      <c r="C168" s="16">
        <v>370</v>
      </c>
      <c r="F168" s="14" t="s">
        <v>90</v>
      </c>
      <c r="G168" s="16">
        <v>181.8</v>
      </c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9"/>
      <c r="AB168" s="94"/>
      <c r="AC168" s="94"/>
      <c r="AD168" s="94"/>
      <c r="AE168" s="94"/>
      <c r="AF168" s="94"/>
    </row>
    <row r="169" spans="1:32" ht="15.75">
      <c r="A169" s="45">
        <f t="shared" si="9"/>
        <v>55</v>
      </c>
      <c r="B169" s="14" t="s">
        <v>58</v>
      </c>
      <c r="C169" s="16">
        <v>356.92</v>
      </c>
      <c r="F169" s="14" t="s">
        <v>81</v>
      </c>
      <c r="G169" s="16">
        <v>173.56</v>
      </c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9"/>
      <c r="AB169" s="94"/>
      <c r="AC169" s="94"/>
      <c r="AD169" s="94"/>
      <c r="AE169" s="94"/>
      <c r="AF169" s="94"/>
    </row>
    <row r="170" spans="1:32" ht="15.75">
      <c r="A170" s="45">
        <f t="shared" si="9"/>
        <v>56</v>
      </c>
      <c r="B170" s="14" t="s">
        <v>72</v>
      </c>
      <c r="C170" s="16">
        <v>355.83</v>
      </c>
      <c r="F170" s="14" t="s">
        <v>10</v>
      </c>
      <c r="G170" s="16">
        <v>171.89500000000001</v>
      </c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9"/>
      <c r="AB170" s="94"/>
      <c r="AC170" s="94"/>
      <c r="AD170" s="94"/>
      <c r="AE170" s="94"/>
      <c r="AF170" s="94"/>
    </row>
    <row r="171" spans="1:32" ht="15.75">
      <c r="A171" s="45">
        <f t="shared" si="9"/>
        <v>57</v>
      </c>
      <c r="B171" s="14" t="s">
        <v>6</v>
      </c>
      <c r="C171" s="16">
        <v>335.21</v>
      </c>
      <c r="F171" s="14" t="s">
        <v>111</v>
      </c>
      <c r="G171" s="16">
        <v>170</v>
      </c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9"/>
      <c r="AB171" s="94"/>
      <c r="AC171" s="94"/>
      <c r="AD171" s="94"/>
      <c r="AE171" s="94"/>
      <c r="AF171" s="94"/>
    </row>
    <row r="172" spans="1:32" ht="15.75">
      <c r="A172" s="45">
        <f t="shared" si="9"/>
        <v>58</v>
      </c>
      <c r="B172" s="14" t="s">
        <v>39</v>
      </c>
      <c r="C172" s="16">
        <v>326.79000000000002</v>
      </c>
      <c r="F172" s="14" t="s">
        <v>88</v>
      </c>
      <c r="G172" s="16">
        <v>166.18</v>
      </c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9"/>
      <c r="AB172" s="94"/>
      <c r="AC172" s="94"/>
      <c r="AD172" s="94"/>
      <c r="AE172" s="94"/>
      <c r="AF172" s="94"/>
    </row>
    <row r="173" spans="1:32" ht="15.75">
      <c r="A173" s="45">
        <f t="shared" si="9"/>
        <v>59</v>
      </c>
      <c r="B173" s="14" t="s">
        <v>85</v>
      </c>
      <c r="C173" s="16">
        <v>297.49</v>
      </c>
      <c r="F173" s="14" t="s">
        <v>44</v>
      </c>
      <c r="G173" s="16">
        <v>160.15</v>
      </c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9"/>
      <c r="AB173" s="94"/>
      <c r="AC173" s="94"/>
      <c r="AD173" s="94"/>
      <c r="AE173" s="94"/>
      <c r="AF173" s="94"/>
    </row>
    <row r="174" spans="1:32" ht="15.75">
      <c r="A174" s="45">
        <f t="shared" si="9"/>
        <v>60</v>
      </c>
      <c r="B174" s="14" t="s">
        <v>45</v>
      </c>
      <c r="C174" s="16">
        <v>289.95999999999998</v>
      </c>
      <c r="F174" s="14" t="s">
        <v>78</v>
      </c>
      <c r="G174" s="16">
        <v>156.72999999999999</v>
      </c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9"/>
      <c r="AB174" s="94"/>
      <c r="AC174" s="94"/>
      <c r="AD174" s="94"/>
      <c r="AE174" s="94"/>
      <c r="AF174" s="94"/>
    </row>
    <row r="175" spans="1:32" ht="15.75">
      <c r="A175" s="45">
        <f t="shared" si="9"/>
        <v>61</v>
      </c>
      <c r="B175" s="14" t="s">
        <v>21</v>
      </c>
      <c r="C175" s="16">
        <v>289.02999999999997</v>
      </c>
      <c r="F175" s="14" t="s">
        <v>54</v>
      </c>
      <c r="G175" s="16">
        <v>150.5</v>
      </c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9"/>
      <c r="AB175" s="94"/>
      <c r="AC175" s="94"/>
      <c r="AD175" s="94"/>
      <c r="AE175" s="94"/>
      <c r="AF175" s="94"/>
    </row>
    <row r="176" spans="1:32" ht="15.75">
      <c r="A176" s="45">
        <f t="shared" si="9"/>
        <v>62</v>
      </c>
      <c r="B176" s="14" t="s">
        <v>77</v>
      </c>
      <c r="C176" s="16">
        <v>277.27</v>
      </c>
      <c r="F176" s="14" t="s">
        <v>77</v>
      </c>
      <c r="G176" s="16">
        <v>149.66999999999999</v>
      </c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9"/>
      <c r="AB176" s="94"/>
      <c r="AC176" s="94"/>
      <c r="AD176" s="94"/>
      <c r="AE176" s="94"/>
      <c r="AF176" s="94"/>
    </row>
    <row r="177" spans="1:32" ht="15.75">
      <c r="A177" s="45">
        <f t="shared" si="9"/>
        <v>63</v>
      </c>
      <c r="B177" s="14" t="s">
        <v>3</v>
      </c>
      <c r="C177" s="16">
        <v>276.27999999999997</v>
      </c>
      <c r="F177" s="14" t="s">
        <v>70</v>
      </c>
      <c r="G177" s="16">
        <v>145.38999999999999</v>
      </c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9"/>
      <c r="AB177" s="94"/>
      <c r="AC177" s="94"/>
      <c r="AD177" s="94"/>
      <c r="AE177" s="94"/>
      <c r="AF177" s="94"/>
    </row>
    <row r="178" spans="1:32" ht="15.75">
      <c r="A178" s="45">
        <f t="shared" si="9"/>
        <v>64</v>
      </c>
      <c r="B178" s="23" t="s">
        <v>108</v>
      </c>
      <c r="C178" s="16">
        <v>267.85000000000002</v>
      </c>
      <c r="F178" s="14" t="s">
        <v>59</v>
      </c>
      <c r="G178" s="16">
        <v>140.96</v>
      </c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9"/>
      <c r="AB178" s="94"/>
      <c r="AC178" s="94"/>
      <c r="AD178" s="94"/>
      <c r="AE178" s="94"/>
      <c r="AF178" s="94"/>
    </row>
    <row r="179" spans="1:32" ht="15.75">
      <c r="A179" s="45">
        <f t="shared" si="9"/>
        <v>65</v>
      </c>
      <c r="B179" s="14" t="s">
        <v>57</v>
      </c>
      <c r="C179" s="16">
        <v>256.12</v>
      </c>
      <c r="F179" s="14" t="s">
        <v>92</v>
      </c>
      <c r="G179" s="16">
        <v>139.43</v>
      </c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9"/>
      <c r="AB179" s="94"/>
      <c r="AC179" s="94"/>
      <c r="AD179" s="94"/>
      <c r="AE179" s="94"/>
      <c r="AF179" s="94"/>
    </row>
    <row r="180" spans="1:32" ht="15.75">
      <c r="A180" s="45">
        <f t="shared" si="9"/>
        <v>66</v>
      </c>
      <c r="B180" s="14" t="s">
        <v>44</v>
      </c>
      <c r="C180" s="16">
        <v>254.97</v>
      </c>
      <c r="F180" s="14" t="s">
        <v>11</v>
      </c>
      <c r="G180" s="16">
        <v>134.33000000000001</v>
      </c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9"/>
      <c r="AB180" s="94"/>
      <c r="AC180" s="94"/>
      <c r="AD180" s="94"/>
      <c r="AE180" s="94"/>
      <c r="AF180" s="94"/>
    </row>
    <row r="181" spans="1:32" ht="15.75">
      <c r="A181" s="45">
        <f t="shared" ref="A181:A213" si="10">1+A180</f>
        <v>67</v>
      </c>
      <c r="B181" s="14" t="s">
        <v>59</v>
      </c>
      <c r="C181" s="16">
        <v>253.42</v>
      </c>
      <c r="F181" s="14" t="s">
        <v>71</v>
      </c>
      <c r="G181" s="16">
        <v>128.41</v>
      </c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9"/>
      <c r="AB181" s="94"/>
      <c r="AC181" s="94"/>
      <c r="AD181" s="94"/>
      <c r="AE181" s="94"/>
      <c r="AF181" s="94"/>
    </row>
    <row r="182" spans="1:32" ht="15.75">
      <c r="A182" s="45">
        <f t="shared" si="10"/>
        <v>68</v>
      </c>
      <c r="B182" s="14" t="s">
        <v>95</v>
      </c>
      <c r="C182" s="16">
        <v>231.1</v>
      </c>
      <c r="F182" s="14" t="s">
        <v>100</v>
      </c>
      <c r="G182" s="16">
        <v>128.11000000000001</v>
      </c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9"/>
      <c r="AB182" s="94"/>
      <c r="AC182" s="94"/>
      <c r="AD182" s="94"/>
      <c r="AE182" s="94"/>
      <c r="AF182" s="94"/>
    </row>
    <row r="183" spans="1:32" ht="15.75">
      <c r="A183" s="45">
        <f t="shared" si="10"/>
        <v>69</v>
      </c>
      <c r="B183" s="14" t="s">
        <v>46</v>
      </c>
      <c r="C183" s="16">
        <v>231.08</v>
      </c>
      <c r="F183" s="14" t="s">
        <v>89</v>
      </c>
      <c r="G183" s="16">
        <v>127.67</v>
      </c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9"/>
      <c r="AB183" s="94"/>
      <c r="AC183" s="94"/>
      <c r="AD183" s="94"/>
      <c r="AE183" s="94"/>
      <c r="AF183" s="94"/>
    </row>
    <row r="184" spans="1:32" ht="15.75">
      <c r="A184" s="45">
        <f t="shared" si="10"/>
        <v>70</v>
      </c>
      <c r="B184" s="14" t="s">
        <v>37</v>
      </c>
      <c r="C184" s="16">
        <v>230</v>
      </c>
      <c r="F184" s="14" t="s">
        <v>28</v>
      </c>
      <c r="G184" s="16">
        <v>126.94</v>
      </c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9"/>
      <c r="AB184" s="94"/>
      <c r="AC184" s="94"/>
      <c r="AD184" s="94"/>
      <c r="AE184" s="94"/>
      <c r="AF184" s="94"/>
    </row>
    <row r="185" spans="1:32" ht="15.75">
      <c r="A185" s="45">
        <f t="shared" si="10"/>
        <v>71</v>
      </c>
      <c r="B185" s="14" t="s">
        <v>65</v>
      </c>
      <c r="C185" s="16">
        <v>224.22</v>
      </c>
      <c r="F185" s="14" t="s">
        <v>29</v>
      </c>
      <c r="G185" s="16">
        <v>122.26</v>
      </c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9"/>
      <c r="AB185" s="94"/>
      <c r="AC185" s="94"/>
      <c r="AD185" s="94"/>
      <c r="AE185" s="94"/>
      <c r="AF185" s="94"/>
    </row>
    <row r="186" spans="1:32" ht="15.75">
      <c r="A186" s="45">
        <f t="shared" si="10"/>
        <v>72</v>
      </c>
      <c r="B186" s="14" t="s">
        <v>84</v>
      </c>
      <c r="C186" s="16">
        <v>219.79</v>
      </c>
      <c r="F186" s="14" t="s">
        <v>83</v>
      </c>
      <c r="G186" s="16">
        <v>121.06</v>
      </c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9"/>
      <c r="AB186" s="94"/>
      <c r="AC186" s="94"/>
      <c r="AD186" s="94"/>
      <c r="AE186" s="94"/>
      <c r="AF186" s="94"/>
    </row>
    <row r="187" spans="1:32" ht="15.75">
      <c r="A187" s="45">
        <f t="shared" si="10"/>
        <v>73</v>
      </c>
      <c r="B187" s="14" t="s">
        <v>28</v>
      </c>
      <c r="C187" s="16">
        <v>219.74</v>
      </c>
      <c r="F187" s="14" t="s">
        <v>69</v>
      </c>
      <c r="G187" s="16">
        <v>120.04</v>
      </c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9"/>
      <c r="AB187" s="94"/>
      <c r="AC187" s="94"/>
      <c r="AD187" s="94"/>
      <c r="AE187" s="94"/>
      <c r="AF187" s="94"/>
    </row>
    <row r="188" spans="1:32" ht="15.75">
      <c r="A188" s="45">
        <f t="shared" si="10"/>
        <v>74</v>
      </c>
      <c r="B188" s="14" t="s">
        <v>70</v>
      </c>
      <c r="C188" s="16">
        <v>219.2</v>
      </c>
      <c r="F188" s="14" t="s">
        <v>57</v>
      </c>
      <c r="G188" s="16">
        <v>116.36</v>
      </c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9"/>
      <c r="AB188" s="94"/>
      <c r="AC188" s="94"/>
      <c r="AD188" s="94"/>
      <c r="AE188" s="94"/>
      <c r="AF188" s="94"/>
    </row>
    <row r="189" spans="1:32" ht="15.75">
      <c r="A189" s="45">
        <f t="shared" si="10"/>
        <v>75</v>
      </c>
      <c r="B189" s="14" t="s">
        <v>89</v>
      </c>
      <c r="C189" s="16">
        <v>215.48</v>
      </c>
      <c r="F189" s="14" t="s">
        <v>23</v>
      </c>
      <c r="G189" s="16">
        <v>109.93</v>
      </c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9"/>
      <c r="AB189" s="94"/>
      <c r="AC189" s="94"/>
      <c r="AD189" s="94"/>
      <c r="AE189" s="94"/>
      <c r="AF189" s="94"/>
    </row>
    <row r="190" spans="1:32" ht="15.75">
      <c r="A190" s="45">
        <f t="shared" si="10"/>
        <v>76</v>
      </c>
      <c r="B190" s="14" t="s">
        <v>11</v>
      </c>
      <c r="C190" s="16">
        <v>215.08</v>
      </c>
      <c r="F190" s="14" t="s">
        <v>43</v>
      </c>
      <c r="G190" s="16">
        <v>105.26</v>
      </c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9"/>
      <c r="AB190" s="94"/>
      <c r="AC190" s="94"/>
      <c r="AD190" s="94"/>
      <c r="AE190" s="94"/>
      <c r="AF190" s="94"/>
    </row>
    <row r="191" spans="1:32" ht="15.75">
      <c r="A191" s="45">
        <f t="shared" si="10"/>
        <v>77</v>
      </c>
      <c r="B191" s="14" t="s">
        <v>43</v>
      </c>
      <c r="C191" s="16">
        <v>199.32</v>
      </c>
      <c r="F191" s="14" t="s">
        <v>110</v>
      </c>
      <c r="G191" s="16">
        <v>100</v>
      </c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9"/>
      <c r="AB191" s="94"/>
      <c r="AC191" s="94"/>
      <c r="AD191" s="94"/>
      <c r="AE191" s="94"/>
      <c r="AF191" s="94"/>
    </row>
    <row r="192" spans="1:32" ht="15.75">
      <c r="A192" s="45">
        <f t="shared" si="10"/>
        <v>78</v>
      </c>
      <c r="B192" s="14" t="s">
        <v>54</v>
      </c>
      <c r="C192" s="16">
        <v>198.55</v>
      </c>
      <c r="F192" s="14" t="s">
        <v>35</v>
      </c>
      <c r="G192" s="16">
        <v>98.981999999999999</v>
      </c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9"/>
      <c r="AB192" s="94"/>
      <c r="AC192" s="94"/>
      <c r="AD192" s="94"/>
      <c r="AE192" s="94"/>
      <c r="AF192" s="94"/>
    </row>
    <row r="193" spans="1:32" ht="15.75">
      <c r="A193" s="45">
        <f t="shared" si="10"/>
        <v>79</v>
      </c>
      <c r="B193" s="14" t="s">
        <v>78</v>
      </c>
      <c r="C193" s="16">
        <v>184.1</v>
      </c>
      <c r="F193" s="14" t="s">
        <v>46</v>
      </c>
      <c r="G193" s="16">
        <v>97.93</v>
      </c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9"/>
      <c r="AB193" s="94"/>
      <c r="AC193" s="94"/>
      <c r="AD193" s="94"/>
      <c r="AE193" s="94"/>
      <c r="AF193" s="94"/>
    </row>
    <row r="194" spans="1:32" ht="15.75">
      <c r="A194" s="45">
        <f t="shared" si="10"/>
        <v>80</v>
      </c>
      <c r="B194" s="14" t="s">
        <v>5</v>
      </c>
      <c r="C194" s="16">
        <v>179.98</v>
      </c>
      <c r="F194" s="14" t="s">
        <v>21</v>
      </c>
      <c r="G194" s="16">
        <v>97.33</v>
      </c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9"/>
      <c r="AB194" s="94"/>
      <c r="AC194" s="94"/>
      <c r="AD194" s="94"/>
      <c r="AE194" s="94"/>
      <c r="AF194" s="94"/>
    </row>
    <row r="195" spans="1:32" ht="15.75">
      <c r="A195" s="45">
        <f t="shared" si="10"/>
        <v>81</v>
      </c>
      <c r="B195" s="14" t="s">
        <v>25</v>
      </c>
      <c r="C195" s="16">
        <v>173.51</v>
      </c>
      <c r="F195" s="14" t="s">
        <v>9</v>
      </c>
      <c r="G195" s="16">
        <v>90.03</v>
      </c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9"/>
      <c r="AB195" s="94"/>
      <c r="AC195" s="94"/>
      <c r="AD195" s="94"/>
      <c r="AE195" s="94"/>
      <c r="AF195" s="94"/>
    </row>
    <row r="196" spans="1:32" ht="15.75">
      <c r="A196" s="45">
        <f t="shared" si="10"/>
        <v>82</v>
      </c>
      <c r="B196" s="14" t="s">
        <v>63</v>
      </c>
      <c r="C196" s="16">
        <v>160.78</v>
      </c>
      <c r="F196" s="14" t="s">
        <v>4</v>
      </c>
      <c r="G196" s="16">
        <v>87.13</v>
      </c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9"/>
      <c r="AB196" s="94"/>
      <c r="AC196" s="94"/>
      <c r="AD196" s="94"/>
      <c r="AE196" s="94"/>
      <c r="AF196" s="94"/>
    </row>
    <row r="197" spans="1:32" ht="15.75">
      <c r="A197" s="45">
        <f t="shared" si="10"/>
        <v>83</v>
      </c>
      <c r="B197" s="14" t="s">
        <v>4</v>
      </c>
      <c r="C197" s="16">
        <v>151.49</v>
      </c>
      <c r="F197" s="23" t="s">
        <v>108</v>
      </c>
      <c r="G197" s="16">
        <v>83.25</v>
      </c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9"/>
      <c r="AB197" s="94"/>
      <c r="AC197" s="94"/>
      <c r="AD197" s="94"/>
      <c r="AE197" s="94"/>
      <c r="AF197" s="94"/>
    </row>
    <row r="198" spans="1:32" ht="15.75">
      <c r="A198" s="45">
        <f t="shared" si="10"/>
        <v>84</v>
      </c>
      <c r="B198" s="14" t="s">
        <v>47</v>
      </c>
      <c r="C198" s="16">
        <v>151.05000000000001</v>
      </c>
      <c r="F198" s="14" t="s">
        <v>22</v>
      </c>
      <c r="G198" s="16">
        <v>81.02</v>
      </c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9"/>
      <c r="AB198" s="94"/>
      <c r="AC198" s="94"/>
      <c r="AD198" s="94"/>
      <c r="AE198" s="94"/>
      <c r="AF198" s="94"/>
    </row>
    <row r="199" spans="1:32" ht="15.75">
      <c r="A199" s="45">
        <f t="shared" si="10"/>
        <v>85</v>
      </c>
      <c r="B199" s="14" t="s">
        <v>50</v>
      </c>
      <c r="C199" s="16">
        <v>145.01</v>
      </c>
      <c r="F199" s="14" t="s">
        <v>80</v>
      </c>
      <c r="G199" s="16">
        <v>45.77</v>
      </c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9"/>
      <c r="AB199" s="94"/>
      <c r="AC199" s="94"/>
      <c r="AD199" s="94"/>
      <c r="AE199" s="94"/>
      <c r="AF199" s="94"/>
    </row>
    <row r="200" spans="1:32" ht="15.75">
      <c r="A200" s="45">
        <f t="shared" si="10"/>
        <v>86</v>
      </c>
      <c r="B200" s="14" t="s">
        <v>18</v>
      </c>
      <c r="C200" s="16">
        <v>126.13</v>
      </c>
      <c r="F200" s="14" t="s">
        <v>5</v>
      </c>
      <c r="G200" s="16">
        <v>37.64</v>
      </c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9"/>
      <c r="AB200" s="94"/>
      <c r="AC200" s="94"/>
      <c r="AD200" s="94"/>
      <c r="AE200" s="94"/>
      <c r="AF200" s="94"/>
    </row>
    <row r="201" spans="1:32" ht="15.75">
      <c r="A201" s="45">
        <f t="shared" si="10"/>
        <v>87</v>
      </c>
      <c r="B201" s="14" t="s">
        <v>96</v>
      </c>
      <c r="C201" s="16">
        <v>110.68</v>
      </c>
      <c r="F201" s="14" t="s">
        <v>18</v>
      </c>
      <c r="G201" s="16">
        <v>37.61</v>
      </c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9"/>
      <c r="AB201" s="94"/>
      <c r="AC201" s="94"/>
      <c r="AD201" s="94"/>
      <c r="AE201" s="94"/>
      <c r="AF201" s="94"/>
    </row>
    <row r="202" spans="1:32" ht="15.75">
      <c r="A202" s="45">
        <f t="shared" si="10"/>
        <v>88</v>
      </c>
      <c r="B202" s="14" t="s">
        <v>67</v>
      </c>
      <c r="C202" s="16">
        <v>101.04</v>
      </c>
      <c r="F202" s="14" t="s">
        <v>96</v>
      </c>
      <c r="G202" s="16">
        <v>32.700000000000003</v>
      </c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9"/>
      <c r="AB202" s="94"/>
      <c r="AC202" s="94"/>
      <c r="AD202" s="94"/>
      <c r="AE202" s="94"/>
      <c r="AF202" s="94"/>
    </row>
    <row r="203" spans="1:32" ht="15.75">
      <c r="A203" s="45">
        <f t="shared" si="10"/>
        <v>89</v>
      </c>
      <c r="B203" s="14" t="s">
        <v>92</v>
      </c>
      <c r="C203" s="16">
        <v>75.67</v>
      </c>
      <c r="F203" s="14" t="s">
        <v>107</v>
      </c>
      <c r="G203" s="16">
        <v>30</v>
      </c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9"/>
      <c r="AB203" s="94"/>
      <c r="AC203" s="94"/>
      <c r="AD203" s="94"/>
      <c r="AE203" s="94"/>
      <c r="AF203" s="94"/>
    </row>
    <row r="204" spans="1:32" ht="15.75">
      <c r="A204" s="45">
        <f t="shared" si="10"/>
        <v>90</v>
      </c>
      <c r="B204" s="14" t="s">
        <v>69</v>
      </c>
      <c r="C204" s="16">
        <v>73.31</v>
      </c>
      <c r="F204" s="14" t="s">
        <v>6</v>
      </c>
      <c r="G204" s="16">
        <v>29.52</v>
      </c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9"/>
      <c r="AB204" s="94"/>
      <c r="AC204" s="94"/>
      <c r="AD204" s="94"/>
      <c r="AE204" s="94"/>
      <c r="AF204" s="94"/>
    </row>
    <row r="205" spans="1:32" ht="15.75">
      <c r="A205" s="45">
        <f t="shared" si="10"/>
        <v>91</v>
      </c>
      <c r="B205" s="14" t="s">
        <v>16</v>
      </c>
      <c r="C205" s="16">
        <v>52.29</v>
      </c>
      <c r="F205" s="14" t="s">
        <v>84</v>
      </c>
      <c r="G205" s="16">
        <v>19.559999999999999</v>
      </c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9"/>
      <c r="AB205" s="94"/>
      <c r="AC205" s="94"/>
      <c r="AD205" s="94"/>
      <c r="AE205" s="94"/>
      <c r="AF205" s="94"/>
    </row>
    <row r="206" spans="1:32" ht="15.75">
      <c r="A206" s="45">
        <f t="shared" si="10"/>
        <v>92</v>
      </c>
      <c r="B206" s="14" t="s">
        <v>48</v>
      </c>
      <c r="C206" s="16">
        <v>36.4</v>
      </c>
      <c r="F206" s="14" t="s">
        <v>60</v>
      </c>
      <c r="G206" s="16">
        <v>7.4</v>
      </c>
      <c r="H206" s="4"/>
      <c r="I206" s="99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9"/>
      <c r="AB206" s="94"/>
      <c r="AC206" s="94"/>
      <c r="AD206" s="94"/>
      <c r="AE206" s="94"/>
      <c r="AF206" s="94"/>
    </row>
    <row r="207" spans="1:32" ht="15.75">
      <c r="A207" s="45">
        <f t="shared" si="10"/>
        <v>93</v>
      </c>
      <c r="B207" s="14" t="s">
        <v>15</v>
      </c>
      <c r="C207" s="16">
        <v>24.49</v>
      </c>
      <c r="F207" s="14" t="s">
        <v>16</v>
      </c>
      <c r="G207" s="16">
        <v>0</v>
      </c>
      <c r="H207" s="4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4"/>
      <c r="AC207" s="94"/>
      <c r="AD207" s="94"/>
      <c r="AE207" s="94"/>
      <c r="AF207" s="94"/>
    </row>
    <row r="208" spans="1:32" ht="15.75">
      <c r="A208" s="45">
        <f t="shared" si="10"/>
        <v>94</v>
      </c>
      <c r="B208" s="14" t="s">
        <v>60</v>
      </c>
      <c r="C208" s="16">
        <v>23.7</v>
      </c>
      <c r="F208" s="14" t="s">
        <v>20</v>
      </c>
      <c r="G208" s="16">
        <v>0</v>
      </c>
      <c r="H208" s="4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4"/>
      <c r="AC208" s="94"/>
      <c r="AD208" s="94"/>
      <c r="AE208" s="94"/>
      <c r="AF208" s="94"/>
    </row>
    <row r="209" spans="1:27" ht="15.75">
      <c r="A209" s="45">
        <f t="shared" si="10"/>
        <v>95</v>
      </c>
      <c r="B209" s="14" t="s">
        <v>20</v>
      </c>
      <c r="C209" s="16">
        <v>0</v>
      </c>
      <c r="F209" s="14" t="s">
        <v>30</v>
      </c>
      <c r="G209" s="16"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>
      <c r="A210" s="45">
        <f t="shared" si="10"/>
        <v>96</v>
      </c>
      <c r="B210" s="14" t="s">
        <v>30</v>
      </c>
      <c r="C210" s="16">
        <v>0</v>
      </c>
      <c r="F210" s="14" t="s">
        <v>42</v>
      </c>
      <c r="G210" s="16">
        <v>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>
      <c r="A211" s="45">
        <f t="shared" si="10"/>
        <v>97</v>
      </c>
      <c r="B211" s="14" t="s">
        <v>42</v>
      </c>
      <c r="C211" s="16">
        <v>0</v>
      </c>
      <c r="F211" s="14" t="s">
        <v>47</v>
      </c>
      <c r="G211" s="16">
        <v>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>
      <c r="A212" s="45">
        <f t="shared" si="10"/>
        <v>98</v>
      </c>
      <c r="B212" s="14" t="s">
        <v>52</v>
      </c>
      <c r="C212" s="16">
        <v>0</v>
      </c>
      <c r="F212" s="14" t="s">
        <v>52</v>
      </c>
      <c r="G212" s="16">
        <v>0</v>
      </c>
      <c r="T212" s="4"/>
      <c r="U212" s="4"/>
      <c r="V212" s="4"/>
    </row>
    <row r="213" spans="1:27" ht="15.75">
      <c r="A213" s="45">
        <f t="shared" si="10"/>
        <v>99</v>
      </c>
      <c r="B213" s="17" t="s">
        <v>62</v>
      </c>
      <c r="C213" s="19">
        <v>0</v>
      </c>
      <c r="F213" s="17" t="s">
        <v>95</v>
      </c>
      <c r="G213" s="19">
        <v>0</v>
      </c>
      <c r="T213" s="4"/>
      <c r="U213" s="4"/>
      <c r="V213" s="4"/>
    </row>
    <row r="214" spans="1:27">
      <c r="B214" s="46" t="s">
        <v>103</v>
      </c>
      <c r="C214" s="47">
        <f>SUM(C115:C213)</f>
        <v>83691.811000000103</v>
      </c>
      <c r="D214" s="48"/>
      <c r="E214" s="48"/>
      <c r="F214" s="46" t="s">
        <v>103</v>
      </c>
      <c r="G214" s="47">
        <f>SUM(G115:G213)</f>
        <v>46320.91</v>
      </c>
    </row>
    <row r="215" spans="1:27">
      <c r="C215" s="1">
        <f>C214-C110</f>
        <v>0</v>
      </c>
      <c r="G215" s="1">
        <f>G214-D110</f>
        <v>0</v>
      </c>
    </row>
    <row r="217" spans="1:27">
      <c r="T217" s="4"/>
      <c r="U217" s="4"/>
      <c r="V217" s="4"/>
    </row>
    <row r="218" spans="1:27">
      <c r="T218" s="4"/>
      <c r="U218" s="4"/>
      <c r="V218" s="4"/>
    </row>
    <row r="219" spans="1:27">
      <c r="T219" s="4"/>
      <c r="U219" s="4"/>
      <c r="V219" s="4"/>
    </row>
    <row r="220" spans="1:27">
      <c r="T220" s="4"/>
      <c r="U220" s="4"/>
      <c r="V220" s="4"/>
    </row>
    <row r="221" spans="1:27">
      <c r="T221" s="4"/>
      <c r="U221" s="4"/>
      <c r="V221" s="4"/>
    </row>
    <row r="222" spans="1:27">
      <c r="T222" s="4"/>
      <c r="U222" s="4"/>
      <c r="V222" s="4"/>
    </row>
    <row r="223" spans="1:27">
      <c r="G223" s="1"/>
      <c r="T223" s="4"/>
      <c r="U223" s="4"/>
      <c r="V223" s="4"/>
    </row>
    <row r="226" spans="1:32" ht="16.5">
      <c r="O226" s="3" t="s">
        <v>3</v>
      </c>
      <c r="P226" s="22">
        <v>567.27</v>
      </c>
      <c r="Q226" s="22">
        <v>13640</v>
      </c>
      <c r="R226" s="22">
        <v>13090</v>
      </c>
      <c r="S226" s="49">
        <v>4.1588709677419304</v>
      </c>
      <c r="T226" s="4"/>
      <c r="U226" s="4"/>
      <c r="V226" s="4"/>
    </row>
    <row r="227" spans="1:32" ht="15.75">
      <c r="B227" s="50" t="s">
        <v>3</v>
      </c>
      <c r="C227" s="51">
        <v>276.27999999999997</v>
      </c>
      <c r="D227" s="51">
        <v>10640</v>
      </c>
      <c r="E227" s="52">
        <v>10370</v>
      </c>
      <c r="F227" s="53">
        <f t="shared" ref="F227" si="11">(C227/D227)*100</f>
        <v>2.5966165413533799</v>
      </c>
      <c r="G227" s="28"/>
      <c r="H227" s="50" t="s">
        <v>3</v>
      </c>
      <c r="I227" s="51">
        <v>290.99</v>
      </c>
      <c r="J227" s="51">
        <v>3000</v>
      </c>
      <c r="K227" s="52">
        <v>2720</v>
      </c>
      <c r="L227" s="49">
        <f t="shared" ref="L227" si="12">(I227/J227)*100</f>
        <v>9.6996666666666709</v>
      </c>
      <c r="O227" s="37"/>
      <c r="P227" s="15"/>
      <c r="Q227" s="15"/>
      <c r="R227" s="15"/>
      <c r="S227" s="54"/>
      <c r="T227" s="4"/>
      <c r="U227" s="4"/>
      <c r="V227" s="4"/>
    </row>
    <row r="228" spans="1:32">
      <c r="T228" s="4"/>
      <c r="U228" s="4"/>
      <c r="V228" s="4"/>
    </row>
    <row r="229" spans="1:32" ht="19.899999999999999" customHeight="1">
      <c r="A229" s="4"/>
      <c r="B229" s="90" t="s">
        <v>117</v>
      </c>
      <c r="C229" s="90"/>
      <c r="D229" s="90"/>
      <c r="E229" s="90"/>
      <c r="F229" s="90"/>
      <c r="G229" s="20"/>
      <c r="H229" s="90" t="s">
        <v>118</v>
      </c>
      <c r="I229" s="90"/>
      <c r="J229" s="90"/>
      <c r="K229" s="90"/>
      <c r="L229" s="90"/>
      <c r="M229" s="4"/>
      <c r="N229" s="55"/>
      <c r="O229" s="91" t="s">
        <v>119</v>
      </c>
      <c r="P229" s="91"/>
      <c r="Q229" s="91"/>
      <c r="R229" s="91"/>
      <c r="S229" s="92"/>
      <c r="T229" s="4"/>
      <c r="U229" s="4"/>
      <c r="V229" s="4"/>
    </row>
    <row r="230" spans="1:32" ht="15.75">
      <c r="A230" s="4"/>
      <c r="B230" s="93">
        <v>45904</v>
      </c>
      <c r="C230" s="93"/>
      <c r="D230" s="93"/>
      <c r="E230" s="93"/>
      <c r="F230" s="93"/>
      <c r="G230" s="21"/>
      <c r="H230" s="93">
        <v>45904</v>
      </c>
      <c r="I230" s="93"/>
      <c r="J230" s="93"/>
      <c r="K230" s="93"/>
      <c r="L230" s="93"/>
      <c r="M230" s="4"/>
      <c r="N230" s="56"/>
      <c r="O230" s="93">
        <v>45904</v>
      </c>
      <c r="P230" s="93"/>
      <c r="Q230" s="93"/>
      <c r="R230" s="93"/>
      <c r="S230" s="93"/>
      <c r="T230" s="4"/>
      <c r="U230" s="4"/>
      <c r="V230" s="4"/>
    </row>
    <row r="231" spans="1:32" ht="31.5">
      <c r="A231" s="57" t="s">
        <v>105</v>
      </c>
      <c r="B231" s="58" t="s">
        <v>0</v>
      </c>
      <c r="C231" s="59" t="s">
        <v>1</v>
      </c>
      <c r="D231" s="60" t="s">
        <v>120</v>
      </c>
      <c r="E231" s="60" t="s">
        <v>121</v>
      </c>
      <c r="F231" s="61" t="s">
        <v>122</v>
      </c>
      <c r="G231" s="28"/>
      <c r="H231" s="58" t="s">
        <v>0</v>
      </c>
      <c r="I231" s="60" t="s">
        <v>2</v>
      </c>
      <c r="J231" s="60" t="s">
        <v>123</v>
      </c>
      <c r="K231" s="60" t="s">
        <v>121</v>
      </c>
      <c r="L231" s="62" t="s">
        <v>122</v>
      </c>
      <c r="M231" s="4"/>
      <c r="N231" s="63" t="s">
        <v>105</v>
      </c>
      <c r="O231" s="64" t="s">
        <v>0</v>
      </c>
      <c r="P231" s="65" t="s">
        <v>124</v>
      </c>
      <c r="Q231" s="66" t="s">
        <v>125</v>
      </c>
      <c r="R231" s="60" t="s">
        <v>121</v>
      </c>
      <c r="S231" s="67" t="s">
        <v>122</v>
      </c>
      <c r="T231" s="4"/>
      <c r="U231" s="4"/>
      <c r="V231" s="4"/>
      <c r="AA231" s="94"/>
      <c r="AB231" s="94"/>
      <c r="AC231" s="94"/>
      <c r="AD231" s="94"/>
      <c r="AE231" s="94"/>
      <c r="AF231" s="94"/>
    </row>
    <row r="232" spans="1:32" ht="15.75">
      <c r="A232" s="68">
        <v>1</v>
      </c>
      <c r="B232" s="69" t="s">
        <v>26</v>
      </c>
      <c r="C232" s="70">
        <v>1208.8699999999999</v>
      </c>
      <c r="D232" s="70">
        <v>800</v>
      </c>
      <c r="E232" s="71">
        <v>8660</v>
      </c>
      <c r="F232" s="53">
        <f t="shared" ref="F232:F263" si="13">(C232/D232)*100</f>
        <v>151.10874999999999</v>
      </c>
      <c r="G232" s="28"/>
      <c r="H232" s="69" t="s">
        <v>50</v>
      </c>
      <c r="I232" s="70">
        <v>657.45</v>
      </c>
      <c r="J232" s="70">
        <v>890</v>
      </c>
      <c r="K232" s="71">
        <v>9340</v>
      </c>
      <c r="L232" s="49">
        <f t="shared" ref="L232:L263" si="14">(I232/J232)*100</f>
        <v>73.870786516853897</v>
      </c>
      <c r="M232" s="28">
        <f t="shared" ref="M232:M235" si="15">(J232-K232)-I232</f>
        <v>-9107.4500000000007</v>
      </c>
      <c r="N232" s="72">
        <v>1</v>
      </c>
      <c r="O232" s="10" t="s">
        <v>106</v>
      </c>
      <c r="P232" s="11">
        <v>1450</v>
      </c>
      <c r="Q232" s="11">
        <v>4670</v>
      </c>
      <c r="R232" s="12">
        <v>16420</v>
      </c>
      <c r="S232" s="49">
        <v>31.0492505353319</v>
      </c>
      <c r="T232" s="4">
        <f t="shared" ref="T232:T263" si="16">(P232/Q232)*100</f>
        <v>31.0492505353319</v>
      </c>
      <c r="U232" s="28">
        <f t="shared" ref="U232:U263" si="17">T232-S232</f>
        <v>0</v>
      </c>
      <c r="V232" s="4"/>
      <c r="AA232" s="94"/>
      <c r="AB232" s="94"/>
      <c r="AC232" s="94"/>
      <c r="AD232" s="94"/>
      <c r="AE232" s="94"/>
      <c r="AF232" s="94"/>
    </row>
    <row r="233" spans="1:32" ht="15.75">
      <c r="A233" s="68">
        <v>2</v>
      </c>
      <c r="B233" s="50" t="s">
        <v>110</v>
      </c>
      <c r="C233" s="51">
        <v>1050</v>
      </c>
      <c r="D233" s="51">
        <v>1050</v>
      </c>
      <c r="E233" s="52">
        <v>9000</v>
      </c>
      <c r="F233" s="53">
        <f t="shared" si="13"/>
        <v>100</v>
      </c>
      <c r="G233" s="28"/>
      <c r="H233" s="50" t="s">
        <v>106</v>
      </c>
      <c r="I233" s="51">
        <v>650</v>
      </c>
      <c r="J233" s="51">
        <v>1440</v>
      </c>
      <c r="K233" s="52">
        <v>790</v>
      </c>
      <c r="L233" s="49">
        <f t="shared" si="14"/>
        <v>45.1388888888889</v>
      </c>
      <c r="M233" s="28">
        <f t="shared" si="15"/>
        <v>0</v>
      </c>
      <c r="N233" s="72">
        <f t="shared" ref="N233:N264" si="18">1+N232</f>
        <v>2</v>
      </c>
      <c r="O233" s="14" t="s">
        <v>93</v>
      </c>
      <c r="P233" s="15">
        <v>13231.79</v>
      </c>
      <c r="Q233" s="15">
        <v>49950</v>
      </c>
      <c r="R233" s="16">
        <v>55070</v>
      </c>
      <c r="S233" s="49">
        <v>26.4900700700701</v>
      </c>
      <c r="T233" s="4">
        <f t="shared" si="16"/>
        <v>26.4900700700701</v>
      </c>
      <c r="U233" s="28">
        <f t="shared" si="17"/>
        <v>-2.8421709430404001E-14</v>
      </c>
      <c r="V233" s="4"/>
      <c r="AA233" s="94"/>
      <c r="AB233" s="94"/>
      <c r="AC233" s="94"/>
      <c r="AD233" s="94"/>
      <c r="AE233" s="94"/>
      <c r="AF233" s="94"/>
    </row>
    <row r="234" spans="1:32" ht="15.75">
      <c r="A234" s="68">
        <v>3</v>
      </c>
      <c r="B234" s="69" t="s">
        <v>51</v>
      </c>
      <c r="C234" s="70">
        <v>3590.86</v>
      </c>
      <c r="D234" s="70">
        <v>4080</v>
      </c>
      <c r="E234" s="71">
        <v>520</v>
      </c>
      <c r="F234" s="54">
        <f t="shared" si="13"/>
        <v>88.011274509803897</v>
      </c>
      <c r="G234" s="28"/>
      <c r="H234" s="69" t="s">
        <v>10</v>
      </c>
      <c r="I234" s="70">
        <v>171.89500000000001</v>
      </c>
      <c r="J234" s="70">
        <v>530</v>
      </c>
      <c r="K234" s="71">
        <v>350</v>
      </c>
      <c r="L234" s="49">
        <f t="shared" si="14"/>
        <v>32.433018867924503</v>
      </c>
      <c r="M234" s="28">
        <f t="shared" si="15"/>
        <v>8.1049999999999898</v>
      </c>
      <c r="N234" s="72">
        <f t="shared" si="18"/>
        <v>3</v>
      </c>
      <c r="O234" s="14" t="s">
        <v>51</v>
      </c>
      <c r="P234" s="15">
        <v>4017.53</v>
      </c>
      <c r="Q234" s="15">
        <v>17360</v>
      </c>
      <c r="R234" s="16">
        <v>13350</v>
      </c>
      <c r="S234" s="49">
        <v>23.142453917050702</v>
      </c>
      <c r="T234" s="4">
        <f t="shared" si="16"/>
        <v>23.142453917050702</v>
      </c>
      <c r="U234" s="28">
        <f t="shared" si="17"/>
        <v>0</v>
      </c>
      <c r="V234" s="4"/>
      <c r="AA234" s="94"/>
      <c r="AB234" s="94"/>
      <c r="AC234" s="94"/>
      <c r="AD234" s="94"/>
      <c r="AE234" s="94"/>
      <c r="AF234" s="94"/>
    </row>
    <row r="235" spans="1:32" ht="15.75">
      <c r="A235" s="68">
        <f t="shared" ref="A235:A266" si="19">1+A234</f>
        <v>4</v>
      </c>
      <c r="B235" s="69" t="s">
        <v>93</v>
      </c>
      <c r="C235" s="70">
        <v>8925.0300000000007</v>
      </c>
      <c r="D235" s="70">
        <v>11110</v>
      </c>
      <c r="E235" s="71">
        <v>20610</v>
      </c>
      <c r="F235" s="54">
        <f t="shared" si="13"/>
        <v>80.333303330332996</v>
      </c>
      <c r="G235" s="28"/>
      <c r="H235" s="69" t="s">
        <v>91</v>
      </c>
      <c r="I235" s="70">
        <v>931.36</v>
      </c>
      <c r="J235" s="70">
        <v>4630</v>
      </c>
      <c r="K235" s="71">
        <v>3720</v>
      </c>
      <c r="L235" s="49">
        <f t="shared" si="14"/>
        <v>20.115766738660898</v>
      </c>
      <c r="M235" s="28">
        <f t="shared" si="15"/>
        <v>-21.36</v>
      </c>
      <c r="N235" s="72">
        <f t="shared" si="18"/>
        <v>4</v>
      </c>
      <c r="O235" s="14" t="s">
        <v>110</v>
      </c>
      <c r="P235" s="15">
        <v>1150</v>
      </c>
      <c r="Q235" s="15">
        <v>5300</v>
      </c>
      <c r="R235" s="16">
        <v>13150</v>
      </c>
      <c r="S235" s="49">
        <v>21.698113207547198</v>
      </c>
      <c r="T235" s="4">
        <f t="shared" si="16"/>
        <v>21.698113207547198</v>
      </c>
      <c r="U235" s="28">
        <f t="shared" si="17"/>
        <v>-2.8421709430404001E-14</v>
      </c>
      <c r="V235" s="4"/>
      <c r="AA235" s="94"/>
      <c r="AB235" s="94"/>
      <c r="AC235" s="94"/>
      <c r="AD235" s="94"/>
      <c r="AE235" s="94"/>
      <c r="AF235" s="94"/>
    </row>
    <row r="236" spans="1:32" ht="15.75">
      <c r="A236" s="68">
        <f t="shared" si="19"/>
        <v>5</v>
      </c>
      <c r="B236" s="69" t="s">
        <v>107</v>
      </c>
      <c r="C236" s="70">
        <v>370</v>
      </c>
      <c r="D236" s="70">
        <v>550</v>
      </c>
      <c r="E236" s="71">
        <v>9180</v>
      </c>
      <c r="F236" s="54">
        <f t="shared" si="13"/>
        <v>67.272727272727295</v>
      </c>
      <c r="G236" s="28"/>
      <c r="H236" s="69" t="s">
        <v>70</v>
      </c>
      <c r="I236" s="70">
        <v>145.38999999999999</v>
      </c>
      <c r="J236" s="70">
        <v>740</v>
      </c>
      <c r="K236" s="71">
        <v>5110</v>
      </c>
      <c r="L236" s="49">
        <f t="shared" si="14"/>
        <v>19.6472972972973</v>
      </c>
      <c r="M236" s="28" t="e">
        <f>(#REF!-#REF!)-#REF!</f>
        <v>#REF!</v>
      </c>
      <c r="N236" s="72">
        <f t="shared" si="18"/>
        <v>5</v>
      </c>
      <c r="O236" s="14" t="s">
        <v>107</v>
      </c>
      <c r="P236" s="15">
        <v>400</v>
      </c>
      <c r="Q236" s="15">
        <v>2210</v>
      </c>
      <c r="R236" s="16">
        <v>15310</v>
      </c>
      <c r="S236" s="49">
        <v>18.099547511312199</v>
      </c>
      <c r="T236" s="4">
        <f t="shared" si="16"/>
        <v>18.099547511312199</v>
      </c>
      <c r="U236" s="28">
        <f t="shared" si="17"/>
        <v>0</v>
      </c>
      <c r="V236" s="4"/>
      <c r="AA236" s="94"/>
      <c r="AB236" s="94"/>
      <c r="AC236" s="94"/>
      <c r="AD236" s="94"/>
      <c r="AE236" s="94"/>
      <c r="AF236" s="94"/>
    </row>
    <row r="237" spans="1:32" ht="15.75">
      <c r="A237" s="68">
        <f t="shared" si="19"/>
        <v>6</v>
      </c>
      <c r="B237" s="69" t="s">
        <v>97</v>
      </c>
      <c r="C237" s="70">
        <v>4281.82</v>
      </c>
      <c r="D237" s="70">
        <v>10300</v>
      </c>
      <c r="E237" s="71">
        <v>6030</v>
      </c>
      <c r="F237" s="54">
        <f t="shared" si="13"/>
        <v>41.571067961164999</v>
      </c>
      <c r="G237" s="28"/>
      <c r="H237" s="69" t="s">
        <v>12</v>
      </c>
      <c r="I237" s="70">
        <v>2378.29</v>
      </c>
      <c r="J237" s="70">
        <v>14680</v>
      </c>
      <c r="K237" s="71">
        <v>12410</v>
      </c>
      <c r="L237" s="49">
        <f t="shared" si="14"/>
        <v>16.200885558583099</v>
      </c>
      <c r="M237" s="28">
        <f t="shared" ref="M237:M247" si="20">(J236-K236)-I236</f>
        <v>-4515.3900000000003</v>
      </c>
      <c r="N237" s="72">
        <f t="shared" si="18"/>
        <v>6</v>
      </c>
      <c r="O237" s="14" t="s">
        <v>111</v>
      </c>
      <c r="P237" s="15">
        <v>880</v>
      </c>
      <c r="Q237" s="15">
        <v>5170</v>
      </c>
      <c r="R237" s="16">
        <v>4290</v>
      </c>
      <c r="S237" s="49">
        <v>17.021276595744698</v>
      </c>
      <c r="T237" s="4">
        <f t="shared" si="16"/>
        <v>17.021276595744698</v>
      </c>
      <c r="U237" s="28">
        <f t="shared" si="17"/>
        <v>0</v>
      </c>
      <c r="V237" s="4"/>
      <c r="AA237" s="94"/>
      <c r="AB237" s="94"/>
      <c r="AC237" s="94"/>
      <c r="AD237" s="94"/>
      <c r="AE237" s="94"/>
      <c r="AF237" s="94"/>
    </row>
    <row r="238" spans="1:32" ht="15.75">
      <c r="A238" s="68">
        <f t="shared" si="19"/>
        <v>7</v>
      </c>
      <c r="B238" s="69" t="s">
        <v>41</v>
      </c>
      <c r="C238" s="70">
        <v>5002.09</v>
      </c>
      <c r="D238" s="70">
        <v>15630</v>
      </c>
      <c r="E238" s="71">
        <v>10720</v>
      </c>
      <c r="F238" s="54">
        <f t="shared" si="13"/>
        <v>32.003134996801002</v>
      </c>
      <c r="G238" s="28"/>
      <c r="H238" s="69" t="s">
        <v>86</v>
      </c>
      <c r="I238" s="70">
        <v>1400.3</v>
      </c>
      <c r="J238" s="70">
        <v>9000</v>
      </c>
      <c r="K238" s="71">
        <v>7620</v>
      </c>
      <c r="L238" s="49">
        <f t="shared" si="14"/>
        <v>15.5588888888889</v>
      </c>
      <c r="M238" s="28">
        <f t="shared" si="20"/>
        <v>-108.29</v>
      </c>
      <c r="N238" s="72">
        <f t="shared" si="18"/>
        <v>7</v>
      </c>
      <c r="O238" s="14" t="s">
        <v>17</v>
      </c>
      <c r="P238" s="15">
        <v>1353.2</v>
      </c>
      <c r="Q238" s="15">
        <v>8260</v>
      </c>
      <c r="R238" s="16">
        <v>6900</v>
      </c>
      <c r="S238" s="49">
        <v>16.3825665859564</v>
      </c>
      <c r="T238" s="4">
        <f t="shared" si="16"/>
        <v>16.3825665859564</v>
      </c>
      <c r="U238" s="28">
        <f t="shared" si="17"/>
        <v>0</v>
      </c>
      <c r="V238" s="4"/>
      <c r="AA238" s="94"/>
      <c r="AB238" s="94"/>
      <c r="AC238" s="94"/>
      <c r="AD238" s="94"/>
      <c r="AE238" s="94"/>
      <c r="AF238" s="94"/>
    </row>
    <row r="239" spans="1:32" ht="15.75">
      <c r="A239" s="68">
        <f t="shared" si="19"/>
        <v>8</v>
      </c>
      <c r="B239" s="69" t="s">
        <v>29</v>
      </c>
      <c r="C239" s="70">
        <v>1017.9</v>
      </c>
      <c r="D239" s="70">
        <v>3240</v>
      </c>
      <c r="E239" s="71">
        <v>2230</v>
      </c>
      <c r="F239" s="54">
        <f t="shared" si="13"/>
        <v>31.4166666666667</v>
      </c>
      <c r="G239" s="28"/>
      <c r="H239" s="69" t="s">
        <v>49</v>
      </c>
      <c r="I239" s="70">
        <v>2257.17</v>
      </c>
      <c r="J239" s="70">
        <v>14580</v>
      </c>
      <c r="K239" s="71">
        <v>25940</v>
      </c>
      <c r="L239" s="49">
        <f t="shared" si="14"/>
        <v>15.4812757201646</v>
      </c>
      <c r="M239" s="28">
        <f t="shared" si="20"/>
        <v>-20.3</v>
      </c>
      <c r="N239" s="72">
        <f t="shared" si="18"/>
        <v>8</v>
      </c>
      <c r="O239" s="14" t="s">
        <v>88</v>
      </c>
      <c r="P239" s="15">
        <v>1480.84</v>
      </c>
      <c r="Q239" s="15">
        <v>9130</v>
      </c>
      <c r="R239" s="16">
        <v>19600</v>
      </c>
      <c r="S239" s="49">
        <v>16.219496166484099</v>
      </c>
      <c r="T239" s="4">
        <f t="shared" si="16"/>
        <v>16.219496166484099</v>
      </c>
      <c r="U239" s="28">
        <f t="shared" si="17"/>
        <v>0</v>
      </c>
      <c r="V239" s="4"/>
      <c r="AA239" s="94"/>
      <c r="AB239" s="94"/>
      <c r="AC239" s="94"/>
      <c r="AD239" s="94"/>
      <c r="AE239" s="94"/>
      <c r="AF239" s="94"/>
    </row>
    <row r="240" spans="1:32" ht="15.75">
      <c r="A240" s="68">
        <f t="shared" si="19"/>
        <v>9</v>
      </c>
      <c r="B240" s="69" t="s">
        <v>65</v>
      </c>
      <c r="C240" s="70">
        <v>224.22</v>
      </c>
      <c r="D240" s="70">
        <v>770</v>
      </c>
      <c r="E240" s="71">
        <v>540</v>
      </c>
      <c r="F240" s="54">
        <f t="shared" si="13"/>
        <v>29.119480519480501</v>
      </c>
      <c r="G240" s="28"/>
      <c r="H240" s="69" t="s">
        <v>74</v>
      </c>
      <c r="I240" s="70">
        <v>1481.25</v>
      </c>
      <c r="J240" s="70">
        <v>10680</v>
      </c>
      <c r="K240" s="71">
        <v>9240</v>
      </c>
      <c r="L240" s="49">
        <f t="shared" si="14"/>
        <v>13.8693820224719</v>
      </c>
      <c r="M240" s="28">
        <f t="shared" si="20"/>
        <v>-13617.17</v>
      </c>
      <c r="N240" s="72">
        <f t="shared" si="18"/>
        <v>9</v>
      </c>
      <c r="O240" s="14" t="s">
        <v>49</v>
      </c>
      <c r="P240" s="15">
        <v>2673.31</v>
      </c>
      <c r="Q240" s="15">
        <v>18670</v>
      </c>
      <c r="R240" s="16">
        <v>29630</v>
      </c>
      <c r="S240" s="49">
        <v>14.318746652383499</v>
      </c>
      <c r="T240" s="4">
        <f t="shared" si="16"/>
        <v>14.318746652383499</v>
      </c>
      <c r="U240" s="28">
        <f t="shared" si="17"/>
        <v>0</v>
      </c>
      <c r="V240" s="4"/>
      <c r="AA240" s="94"/>
      <c r="AB240" s="94"/>
      <c r="AC240" s="94"/>
      <c r="AD240" s="94"/>
      <c r="AE240" s="94"/>
      <c r="AF240" s="94"/>
    </row>
    <row r="241" spans="1:32" ht="15.75">
      <c r="A241" s="68">
        <f t="shared" si="19"/>
        <v>10</v>
      </c>
      <c r="B241" s="69" t="s">
        <v>17</v>
      </c>
      <c r="C241" s="70">
        <v>1128.96</v>
      </c>
      <c r="D241" s="70">
        <v>3920</v>
      </c>
      <c r="E241" s="71">
        <v>2810</v>
      </c>
      <c r="F241" s="54">
        <f t="shared" si="13"/>
        <v>28.8</v>
      </c>
      <c r="G241" s="28"/>
      <c r="H241" s="73" t="s">
        <v>108</v>
      </c>
      <c r="I241" s="70">
        <v>83.25</v>
      </c>
      <c r="J241" s="70">
        <v>620</v>
      </c>
      <c r="K241" s="71">
        <v>460</v>
      </c>
      <c r="L241" s="49">
        <f t="shared" si="14"/>
        <v>13.427419354838699</v>
      </c>
      <c r="M241" s="28">
        <f t="shared" si="20"/>
        <v>-41.25</v>
      </c>
      <c r="N241" s="72">
        <f t="shared" si="18"/>
        <v>10</v>
      </c>
      <c r="O241" s="14" t="s">
        <v>74</v>
      </c>
      <c r="P241" s="15">
        <v>2182.34</v>
      </c>
      <c r="Q241" s="15">
        <v>15300</v>
      </c>
      <c r="R241" s="16">
        <v>13210</v>
      </c>
      <c r="S241" s="49">
        <v>14.263660130719</v>
      </c>
      <c r="T241" s="4">
        <f t="shared" si="16"/>
        <v>14.263660130719</v>
      </c>
      <c r="U241" s="28">
        <f t="shared" si="17"/>
        <v>-4.4408920985006299E-14</v>
      </c>
      <c r="V241" s="4"/>
      <c r="AA241" s="94"/>
      <c r="AB241" s="94"/>
      <c r="AC241" s="94"/>
      <c r="AD241" s="94"/>
      <c r="AE241" s="94"/>
      <c r="AF241" s="94"/>
    </row>
    <row r="242" spans="1:32" ht="15.75">
      <c r="A242" s="68">
        <f t="shared" si="19"/>
        <v>11</v>
      </c>
      <c r="B242" s="69" t="s">
        <v>88</v>
      </c>
      <c r="C242" s="70">
        <v>1314.66</v>
      </c>
      <c r="D242" s="70">
        <v>4600</v>
      </c>
      <c r="E242" s="71">
        <v>11850</v>
      </c>
      <c r="F242" s="54">
        <f t="shared" si="13"/>
        <v>28.579565217391298</v>
      </c>
      <c r="G242" s="28"/>
      <c r="H242" s="69" t="s">
        <v>89</v>
      </c>
      <c r="I242" s="70">
        <v>127.67</v>
      </c>
      <c r="J242" s="70">
        <v>970</v>
      </c>
      <c r="K242" s="71">
        <v>840</v>
      </c>
      <c r="L242" s="49">
        <f t="shared" si="14"/>
        <v>13.161855670103099</v>
      </c>
      <c r="M242" s="28">
        <f t="shared" si="20"/>
        <v>76.75</v>
      </c>
      <c r="N242" s="72">
        <f t="shared" si="18"/>
        <v>11</v>
      </c>
      <c r="O242" s="14" t="s">
        <v>101</v>
      </c>
      <c r="P242" s="15">
        <v>5913.08</v>
      </c>
      <c r="Q242" s="15">
        <v>42030</v>
      </c>
      <c r="R242" s="16">
        <v>35610</v>
      </c>
      <c r="S242" s="49">
        <v>14.0687128241732</v>
      </c>
      <c r="T242" s="4">
        <f t="shared" si="16"/>
        <v>14.0687128241732</v>
      </c>
      <c r="U242" s="28">
        <f t="shared" si="17"/>
        <v>0</v>
      </c>
      <c r="V242" s="4"/>
      <c r="AA242" s="94"/>
      <c r="AB242" s="94"/>
      <c r="AC242" s="94"/>
      <c r="AD242" s="94"/>
      <c r="AE242" s="94"/>
      <c r="AF242" s="94"/>
    </row>
    <row r="243" spans="1:32" ht="15.75">
      <c r="A243" s="68">
        <f t="shared" si="19"/>
        <v>12</v>
      </c>
      <c r="B243" s="69" t="s">
        <v>106</v>
      </c>
      <c r="C243" s="70">
        <v>800</v>
      </c>
      <c r="D243" s="70">
        <v>3230</v>
      </c>
      <c r="E243" s="71">
        <v>15630</v>
      </c>
      <c r="F243" s="54">
        <f t="shared" si="13"/>
        <v>24.767801857585098</v>
      </c>
      <c r="G243" s="28"/>
      <c r="H243" s="69" t="s">
        <v>77</v>
      </c>
      <c r="I243" s="70">
        <v>149.66999999999999</v>
      </c>
      <c r="J243" s="70">
        <v>1260</v>
      </c>
      <c r="K243" s="71">
        <v>1100</v>
      </c>
      <c r="L243" s="49">
        <f t="shared" si="14"/>
        <v>11.8785714285714</v>
      </c>
      <c r="M243" s="28">
        <f t="shared" si="20"/>
        <v>2.33</v>
      </c>
      <c r="N243" s="72">
        <f t="shared" si="18"/>
        <v>12</v>
      </c>
      <c r="O243" s="14" t="s">
        <v>12</v>
      </c>
      <c r="P243" s="15">
        <v>3490.41</v>
      </c>
      <c r="Q243" s="15">
        <v>25230</v>
      </c>
      <c r="R243" s="16">
        <v>21880</v>
      </c>
      <c r="S243" s="49">
        <v>13.8343638525565</v>
      </c>
      <c r="T243" s="4">
        <f t="shared" si="16"/>
        <v>13.8343638525565</v>
      </c>
      <c r="U243" s="28">
        <f t="shared" si="17"/>
        <v>-1.9539925233402799E-14</v>
      </c>
      <c r="V243" s="4"/>
      <c r="AA243" s="94"/>
      <c r="AB243" s="94"/>
      <c r="AC243" s="94"/>
      <c r="AD243" s="94"/>
      <c r="AE243" s="94"/>
      <c r="AF243" s="94"/>
    </row>
    <row r="244" spans="1:32" ht="15.75">
      <c r="A244" s="68">
        <f t="shared" si="19"/>
        <v>13</v>
      </c>
      <c r="B244" s="69" t="s">
        <v>111</v>
      </c>
      <c r="C244" s="70">
        <v>710</v>
      </c>
      <c r="D244" s="70">
        <v>2900</v>
      </c>
      <c r="E244" s="71">
        <v>2190</v>
      </c>
      <c r="F244" s="54">
        <f t="shared" si="13"/>
        <v>24.482758620689701</v>
      </c>
      <c r="G244" s="28"/>
      <c r="H244" s="69" t="s">
        <v>93</v>
      </c>
      <c r="I244" s="70">
        <v>4306.76</v>
      </c>
      <c r="J244" s="70">
        <v>38840</v>
      </c>
      <c r="K244" s="71">
        <v>34460</v>
      </c>
      <c r="L244" s="49">
        <f t="shared" si="14"/>
        <v>11.0884654994851</v>
      </c>
      <c r="M244" s="28">
        <f t="shared" si="20"/>
        <v>10.33</v>
      </c>
      <c r="N244" s="72">
        <f t="shared" si="18"/>
        <v>13</v>
      </c>
      <c r="O244" s="14" t="s">
        <v>87</v>
      </c>
      <c r="P244" s="15">
        <v>2625.83</v>
      </c>
      <c r="Q244" s="15">
        <v>19700</v>
      </c>
      <c r="R244" s="16">
        <v>17050</v>
      </c>
      <c r="S244" s="49">
        <v>13.3290862944162</v>
      </c>
      <c r="T244" s="4">
        <f t="shared" si="16"/>
        <v>13.3290862944162</v>
      </c>
      <c r="U244" s="28">
        <f t="shared" si="17"/>
        <v>4.2632564145605999E-14</v>
      </c>
      <c r="V244" s="4"/>
      <c r="AA244" s="94"/>
      <c r="AB244" s="94"/>
      <c r="AC244" s="94"/>
      <c r="AD244" s="94"/>
      <c r="AE244" s="94"/>
      <c r="AF244" s="94"/>
    </row>
    <row r="245" spans="1:32" ht="15.75">
      <c r="A245" s="68">
        <f t="shared" si="19"/>
        <v>14</v>
      </c>
      <c r="B245" s="69" t="s">
        <v>87</v>
      </c>
      <c r="C245" s="70">
        <v>1772.66</v>
      </c>
      <c r="D245" s="70">
        <v>10070</v>
      </c>
      <c r="E245" s="71">
        <v>8270</v>
      </c>
      <c r="F245" s="54">
        <f t="shared" si="13"/>
        <v>17.6033763654419</v>
      </c>
      <c r="G245" s="28"/>
      <c r="H245" s="69" t="s">
        <v>85</v>
      </c>
      <c r="I245" s="70">
        <v>279.86</v>
      </c>
      <c r="J245" s="70">
        <v>2530</v>
      </c>
      <c r="K245" s="71">
        <v>2260</v>
      </c>
      <c r="L245" s="49">
        <f t="shared" si="14"/>
        <v>11.0616600790514</v>
      </c>
      <c r="M245" s="28">
        <f t="shared" si="20"/>
        <v>73.239999999999796</v>
      </c>
      <c r="N245" s="72">
        <f t="shared" si="18"/>
        <v>14</v>
      </c>
      <c r="O245" s="14" t="s">
        <v>97</v>
      </c>
      <c r="P245" s="15">
        <v>5546.5</v>
      </c>
      <c r="Q245" s="15">
        <v>41710</v>
      </c>
      <c r="R245" s="16">
        <v>36130</v>
      </c>
      <c r="S245" s="49">
        <v>13.2977703188684</v>
      </c>
      <c r="T245" s="4">
        <f t="shared" si="16"/>
        <v>13.2977703188684</v>
      </c>
      <c r="U245" s="28">
        <f t="shared" si="17"/>
        <v>-2.30926389122033E-14</v>
      </c>
      <c r="V245" s="4"/>
      <c r="AA245" s="94"/>
      <c r="AB245" s="94"/>
      <c r="AC245" s="94"/>
      <c r="AD245" s="94"/>
      <c r="AE245" s="94"/>
      <c r="AF245" s="94"/>
    </row>
    <row r="246" spans="1:32" ht="15.75">
      <c r="A246" s="68">
        <f t="shared" si="19"/>
        <v>15</v>
      </c>
      <c r="B246" s="69" t="s">
        <v>98</v>
      </c>
      <c r="C246" s="70">
        <v>2398.6799999999998</v>
      </c>
      <c r="D246" s="70">
        <v>14050</v>
      </c>
      <c r="E246" s="71">
        <v>11670</v>
      </c>
      <c r="F246" s="54">
        <f t="shared" si="13"/>
        <v>17.072455516014202</v>
      </c>
      <c r="G246" s="28"/>
      <c r="H246" s="69" t="s">
        <v>55</v>
      </c>
      <c r="I246" s="70">
        <v>404.93</v>
      </c>
      <c r="J246" s="70">
        <v>3700</v>
      </c>
      <c r="K246" s="71">
        <v>3290</v>
      </c>
      <c r="L246" s="49">
        <f t="shared" si="14"/>
        <v>10.944054054054099</v>
      </c>
      <c r="M246" s="28">
        <f t="shared" si="20"/>
        <v>-9.8600000000000101</v>
      </c>
      <c r="N246" s="72">
        <f t="shared" si="18"/>
        <v>15</v>
      </c>
      <c r="O246" s="14" t="s">
        <v>24</v>
      </c>
      <c r="P246" s="15">
        <v>2099.9299999999998</v>
      </c>
      <c r="Q246" s="15">
        <v>16010</v>
      </c>
      <c r="R246" s="16">
        <v>13900</v>
      </c>
      <c r="S246" s="49">
        <v>13.1163647720175</v>
      </c>
      <c r="T246" s="4">
        <f t="shared" si="16"/>
        <v>13.1163647720175</v>
      </c>
      <c r="U246" s="28">
        <f t="shared" si="17"/>
        <v>0</v>
      </c>
      <c r="V246" s="4"/>
      <c r="AA246" s="94"/>
      <c r="AB246" s="94"/>
      <c r="AC246" s="94"/>
      <c r="AD246" s="94"/>
      <c r="AE246" s="94"/>
      <c r="AF246" s="94"/>
    </row>
    <row r="247" spans="1:32" ht="15.75">
      <c r="A247" s="68">
        <f t="shared" si="19"/>
        <v>16</v>
      </c>
      <c r="B247" s="69" t="s">
        <v>80</v>
      </c>
      <c r="C247" s="70">
        <v>1053.3</v>
      </c>
      <c r="D247" s="70">
        <v>6500</v>
      </c>
      <c r="E247" s="71">
        <v>5480</v>
      </c>
      <c r="F247" s="54">
        <f t="shared" si="13"/>
        <v>16.204615384615401</v>
      </c>
      <c r="G247" s="28"/>
      <c r="H247" s="69" t="s">
        <v>99</v>
      </c>
      <c r="I247" s="70">
        <v>2258.15</v>
      </c>
      <c r="J247" s="70">
        <v>20640</v>
      </c>
      <c r="K247" s="71">
        <v>18390</v>
      </c>
      <c r="L247" s="49">
        <f t="shared" si="14"/>
        <v>10.940649224806201</v>
      </c>
      <c r="M247" s="28">
        <f t="shared" si="20"/>
        <v>5.0699999999999896</v>
      </c>
      <c r="N247" s="72">
        <f t="shared" si="18"/>
        <v>16</v>
      </c>
      <c r="O247" s="14" t="s">
        <v>41</v>
      </c>
      <c r="P247" s="15">
        <v>9471.18</v>
      </c>
      <c r="Q247" s="15">
        <v>73560</v>
      </c>
      <c r="R247" s="16">
        <v>73290</v>
      </c>
      <c r="S247" s="49">
        <v>12.8754486133768</v>
      </c>
      <c r="T247" s="4">
        <f t="shared" si="16"/>
        <v>12.8754486133768</v>
      </c>
      <c r="U247" s="28">
        <f t="shared" si="17"/>
        <v>3.5527136788005003E-14</v>
      </c>
      <c r="V247" s="4"/>
      <c r="AA247" s="94"/>
      <c r="AB247" s="94"/>
      <c r="AC247" s="94"/>
      <c r="AD247" s="94"/>
      <c r="AE247" s="94"/>
      <c r="AF247" s="94"/>
    </row>
    <row r="248" spans="1:32" ht="15.75">
      <c r="A248" s="68">
        <f t="shared" si="19"/>
        <v>17</v>
      </c>
      <c r="B248" s="69" t="s">
        <v>102</v>
      </c>
      <c r="C248" s="70">
        <v>3200.65</v>
      </c>
      <c r="D248" s="70">
        <v>19820</v>
      </c>
      <c r="E248" s="71">
        <v>16670</v>
      </c>
      <c r="F248" s="54">
        <f t="shared" si="13"/>
        <v>16.148587285570098</v>
      </c>
      <c r="G248" s="28"/>
      <c r="H248" s="69" t="s">
        <v>8</v>
      </c>
      <c r="I248" s="70">
        <v>570.09</v>
      </c>
      <c r="J248" s="70">
        <v>5850</v>
      </c>
      <c r="K248" s="71">
        <v>5300</v>
      </c>
      <c r="L248" s="49">
        <f t="shared" si="14"/>
        <v>9.7451282051282107</v>
      </c>
      <c r="M248" s="28" t="e">
        <f>(#REF!-#REF!)-#REF!</f>
        <v>#REF!</v>
      </c>
      <c r="N248" s="72">
        <f t="shared" si="18"/>
        <v>17</v>
      </c>
      <c r="O248" s="14" t="s">
        <v>99</v>
      </c>
      <c r="P248" s="15">
        <v>5788.17</v>
      </c>
      <c r="Q248" s="15">
        <v>46080</v>
      </c>
      <c r="R248" s="16">
        <v>40310</v>
      </c>
      <c r="S248" s="49">
        <v>12.5611328125</v>
      </c>
      <c r="T248" s="4">
        <f t="shared" si="16"/>
        <v>12.5611328125</v>
      </c>
      <c r="U248" s="28">
        <f t="shared" si="17"/>
        <v>0</v>
      </c>
      <c r="V248" s="4"/>
      <c r="AA248" s="94"/>
      <c r="AB248" s="94"/>
      <c r="AC248" s="94"/>
      <c r="AD248" s="94"/>
      <c r="AE248" s="94"/>
      <c r="AF248" s="94"/>
    </row>
    <row r="249" spans="1:32" ht="15.75">
      <c r="A249" s="68">
        <f t="shared" si="19"/>
        <v>18</v>
      </c>
      <c r="B249" s="69" t="s">
        <v>101</v>
      </c>
      <c r="C249" s="70">
        <v>4872.8100000000004</v>
      </c>
      <c r="D249" s="70">
        <v>30900</v>
      </c>
      <c r="E249" s="71">
        <v>25500</v>
      </c>
      <c r="F249" s="54">
        <f t="shared" si="13"/>
        <v>15.7696116504854</v>
      </c>
      <c r="G249" s="28"/>
      <c r="H249" s="69" t="s">
        <v>3</v>
      </c>
      <c r="I249" s="70">
        <v>290.99</v>
      </c>
      <c r="J249" s="70">
        <v>3000</v>
      </c>
      <c r="K249" s="71">
        <v>2720</v>
      </c>
      <c r="L249" s="49">
        <f t="shared" si="14"/>
        <v>9.6996666666666709</v>
      </c>
      <c r="M249" s="28">
        <f t="shared" ref="M249:M255" si="21">(J247-K247)-I247</f>
        <v>-8.1500000000000892</v>
      </c>
      <c r="N249" s="72">
        <f t="shared" si="18"/>
        <v>18</v>
      </c>
      <c r="O249" s="14" t="s">
        <v>85</v>
      </c>
      <c r="P249" s="15">
        <v>577.35</v>
      </c>
      <c r="Q249" s="15">
        <v>4640</v>
      </c>
      <c r="R249" s="16">
        <v>4080</v>
      </c>
      <c r="S249" s="49">
        <v>12.4428879310345</v>
      </c>
      <c r="T249" s="4">
        <f t="shared" si="16"/>
        <v>12.4428879310345</v>
      </c>
      <c r="U249" s="28">
        <f t="shared" si="17"/>
        <v>-1.5987211554602302E-14</v>
      </c>
      <c r="V249" s="4"/>
      <c r="AA249" s="94"/>
      <c r="AB249" s="94"/>
      <c r="AC249" s="94"/>
      <c r="AD249" s="94"/>
      <c r="AE249" s="94"/>
      <c r="AF249" s="94"/>
    </row>
    <row r="250" spans="1:32" ht="15.75">
      <c r="A250" s="68">
        <f t="shared" si="19"/>
        <v>19</v>
      </c>
      <c r="B250" s="69" t="s">
        <v>24</v>
      </c>
      <c r="C250" s="70">
        <v>1544.4</v>
      </c>
      <c r="D250" s="70">
        <v>9800</v>
      </c>
      <c r="E250" s="71">
        <v>8220</v>
      </c>
      <c r="F250" s="54">
        <f t="shared" si="13"/>
        <v>15.7591836734694</v>
      </c>
      <c r="G250" s="28"/>
      <c r="H250" s="69" t="s">
        <v>73</v>
      </c>
      <c r="I250" s="70">
        <v>279.05</v>
      </c>
      <c r="J250" s="70">
        <v>2970</v>
      </c>
      <c r="K250" s="71">
        <v>2720</v>
      </c>
      <c r="L250" s="49">
        <f t="shared" si="14"/>
        <v>9.3956228956228998</v>
      </c>
      <c r="M250" s="28">
        <f t="shared" si="21"/>
        <v>-20.09</v>
      </c>
      <c r="N250" s="72">
        <f t="shared" si="18"/>
        <v>19</v>
      </c>
      <c r="O250" s="14" t="s">
        <v>73</v>
      </c>
      <c r="P250" s="15">
        <v>865.52</v>
      </c>
      <c r="Q250" s="15">
        <v>7220</v>
      </c>
      <c r="R250" s="16">
        <v>6370</v>
      </c>
      <c r="S250" s="49">
        <v>11.987811634349001</v>
      </c>
      <c r="T250" s="4">
        <f t="shared" si="16"/>
        <v>11.987811634349001</v>
      </c>
      <c r="U250" s="28">
        <f t="shared" si="17"/>
        <v>2.8421709430404001E-14</v>
      </c>
      <c r="V250" s="4"/>
      <c r="AA250" s="94"/>
      <c r="AB250" s="94"/>
      <c r="AC250" s="94"/>
      <c r="AD250" s="94"/>
      <c r="AE250" s="94"/>
      <c r="AF250" s="94"/>
    </row>
    <row r="251" spans="1:32" ht="15.75">
      <c r="A251" s="68">
        <f t="shared" si="19"/>
        <v>20</v>
      </c>
      <c r="B251" s="69" t="s">
        <v>84</v>
      </c>
      <c r="C251" s="70">
        <v>219.79</v>
      </c>
      <c r="D251" s="70">
        <v>1400</v>
      </c>
      <c r="E251" s="71">
        <v>1170</v>
      </c>
      <c r="F251" s="54">
        <f t="shared" si="13"/>
        <v>15.699285714285701</v>
      </c>
      <c r="G251" s="28"/>
      <c r="H251" s="69" t="s">
        <v>101</v>
      </c>
      <c r="I251" s="70">
        <v>1040.27</v>
      </c>
      <c r="J251" s="70">
        <v>11130</v>
      </c>
      <c r="K251" s="71">
        <v>10110</v>
      </c>
      <c r="L251" s="49">
        <f t="shared" si="14"/>
        <v>9.3465408805031505</v>
      </c>
      <c r="M251" s="28">
        <f t="shared" si="21"/>
        <v>-10.99</v>
      </c>
      <c r="N251" s="72">
        <f t="shared" si="18"/>
        <v>20</v>
      </c>
      <c r="O251" s="14" t="s">
        <v>86</v>
      </c>
      <c r="P251" s="15">
        <v>2181.6999999999998</v>
      </c>
      <c r="Q251" s="15">
        <v>18280</v>
      </c>
      <c r="R251" s="16">
        <v>16120</v>
      </c>
      <c r="S251" s="49">
        <v>11.9349015317287</v>
      </c>
      <c r="T251" s="4">
        <f t="shared" si="16"/>
        <v>11.9349015317287</v>
      </c>
      <c r="U251" s="28">
        <f t="shared" si="17"/>
        <v>-3.5527136788005003E-14</v>
      </c>
      <c r="V251" s="4"/>
      <c r="AA251" s="94"/>
      <c r="AB251" s="94"/>
      <c r="AC251" s="94"/>
      <c r="AD251" s="94"/>
      <c r="AE251" s="94"/>
      <c r="AF251" s="94"/>
    </row>
    <row r="252" spans="1:32" ht="15.75">
      <c r="A252" s="68">
        <f t="shared" si="19"/>
        <v>21</v>
      </c>
      <c r="B252" s="69" t="s">
        <v>74</v>
      </c>
      <c r="C252" s="70">
        <v>701.09</v>
      </c>
      <c r="D252" s="70">
        <v>4620</v>
      </c>
      <c r="E252" s="71">
        <v>3970</v>
      </c>
      <c r="F252" s="54">
        <f t="shared" si="13"/>
        <v>15.1751082251082</v>
      </c>
      <c r="G252" s="28"/>
      <c r="H252" s="69" t="s">
        <v>82</v>
      </c>
      <c r="I252" s="70">
        <v>217.63</v>
      </c>
      <c r="J252" s="70">
        <v>2340</v>
      </c>
      <c r="K252" s="71">
        <v>2120</v>
      </c>
      <c r="L252" s="49">
        <f t="shared" si="14"/>
        <v>9.3004273504273502</v>
      </c>
      <c r="M252" s="28">
        <f t="shared" si="21"/>
        <v>-29.05</v>
      </c>
      <c r="N252" s="72">
        <f t="shared" si="18"/>
        <v>21</v>
      </c>
      <c r="O252" s="14" t="s">
        <v>81</v>
      </c>
      <c r="P252" s="15">
        <v>2690.7</v>
      </c>
      <c r="Q252" s="15">
        <v>23310</v>
      </c>
      <c r="R252" s="16">
        <v>20620</v>
      </c>
      <c r="S252" s="49">
        <v>11.5431145431145</v>
      </c>
      <c r="T252" s="4">
        <f t="shared" si="16"/>
        <v>11.5431145431145</v>
      </c>
      <c r="U252" s="28">
        <f t="shared" si="17"/>
        <v>4.2632564145605999E-14</v>
      </c>
      <c r="V252" s="4"/>
      <c r="AA252" s="94"/>
      <c r="AB252" s="94"/>
      <c r="AC252" s="94"/>
      <c r="AD252" s="94"/>
      <c r="AE252" s="94"/>
      <c r="AF252" s="94"/>
    </row>
    <row r="253" spans="1:32" ht="15.75">
      <c r="A253" s="68">
        <f t="shared" si="19"/>
        <v>22</v>
      </c>
      <c r="B253" s="69" t="s">
        <v>61</v>
      </c>
      <c r="C253" s="70">
        <v>386.86</v>
      </c>
      <c r="D253" s="70">
        <v>2590</v>
      </c>
      <c r="E253" s="71">
        <v>2210</v>
      </c>
      <c r="F253" s="54">
        <f t="shared" si="13"/>
        <v>14.936679536679501</v>
      </c>
      <c r="G253" s="28"/>
      <c r="H253" s="69" t="s">
        <v>66</v>
      </c>
      <c r="I253" s="70">
        <v>1053.26</v>
      </c>
      <c r="J253" s="70">
        <v>11590</v>
      </c>
      <c r="K253" s="71">
        <v>28620</v>
      </c>
      <c r="L253" s="49">
        <f t="shared" si="14"/>
        <v>9.0876617773943096</v>
      </c>
      <c r="M253" s="28">
        <f t="shared" si="21"/>
        <v>-20.27</v>
      </c>
      <c r="N253" s="72">
        <f t="shared" si="18"/>
        <v>22</v>
      </c>
      <c r="O253" s="14" t="s">
        <v>50</v>
      </c>
      <c r="P253" s="15">
        <v>802.46</v>
      </c>
      <c r="Q253" s="15">
        <v>7200</v>
      </c>
      <c r="R253" s="16">
        <v>15520</v>
      </c>
      <c r="S253" s="49">
        <v>11.1452777777778</v>
      </c>
      <c r="T253" s="4">
        <f t="shared" si="16"/>
        <v>11.1452777777778</v>
      </c>
      <c r="U253" s="28">
        <f t="shared" si="17"/>
        <v>-2.1316282072802999E-14</v>
      </c>
      <c r="V253" s="4"/>
      <c r="AA253" s="94"/>
      <c r="AB253" s="94"/>
      <c r="AC253" s="95"/>
      <c r="AD253" s="95"/>
      <c r="AE253" s="94"/>
      <c r="AF253" s="94"/>
    </row>
    <row r="254" spans="1:32" ht="15.75">
      <c r="A254" s="68">
        <f t="shared" si="19"/>
        <v>23</v>
      </c>
      <c r="B254" s="69" t="s">
        <v>85</v>
      </c>
      <c r="C254" s="70">
        <v>297.49</v>
      </c>
      <c r="D254" s="70">
        <v>2110</v>
      </c>
      <c r="E254" s="71">
        <v>1820</v>
      </c>
      <c r="F254" s="54">
        <f t="shared" si="13"/>
        <v>14.0990521327014</v>
      </c>
      <c r="G254" s="28"/>
      <c r="H254" s="69" t="s">
        <v>24</v>
      </c>
      <c r="I254" s="70">
        <v>555.53</v>
      </c>
      <c r="J254" s="70">
        <v>6210</v>
      </c>
      <c r="K254" s="71">
        <v>5680</v>
      </c>
      <c r="L254" s="49">
        <f t="shared" si="14"/>
        <v>8.9457326892109492</v>
      </c>
      <c r="M254" s="28">
        <f t="shared" si="21"/>
        <v>2.37</v>
      </c>
      <c r="N254" s="72">
        <f t="shared" si="18"/>
        <v>23</v>
      </c>
      <c r="O254" s="14" t="s">
        <v>82</v>
      </c>
      <c r="P254" s="15">
        <v>850.88</v>
      </c>
      <c r="Q254" s="15">
        <v>7680</v>
      </c>
      <c r="R254" s="16">
        <v>6830</v>
      </c>
      <c r="S254" s="49">
        <v>11.079166666666699</v>
      </c>
      <c r="T254" s="4">
        <f t="shared" si="16"/>
        <v>11.079166666666699</v>
      </c>
      <c r="U254" s="28">
        <f t="shared" si="17"/>
        <v>-3.3750779948604803E-14</v>
      </c>
      <c r="V254" s="4"/>
      <c r="AA254" s="94"/>
      <c r="AB254" s="94"/>
      <c r="AC254" s="96"/>
      <c r="AD254" s="96"/>
      <c r="AE254" s="94"/>
      <c r="AF254" s="94"/>
    </row>
    <row r="255" spans="1:32" ht="15.75">
      <c r="A255" s="68">
        <f t="shared" si="19"/>
        <v>24</v>
      </c>
      <c r="B255" s="69" t="s">
        <v>81</v>
      </c>
      <c r="C255" s="70">
        <v>2517.14</v>
      </c>
      <c r="D255" s="70">
        <v>18140</v>
      </c>
      <c r="E255" s="71">
        <v>15620</v>
      </c>
      <c r="F255" s="54">
        <f t="shared" si="13"/>
        <v>13.8761852260198</v>
      </c>
      <c r="G255" s="28"/>
      <c r="H255" s="69" t="s">
        <v>87</v>
      </c>
      <c r="I255" s="70">
        <v>853.17</v>
      </c>
      <c r="J255" s="70">
        <v>9630</v>
      </c>
      <c r="K255" s="71">
        <v>8780</v>
      </c>
      <c r="L255" s="49">
        <f t="shared" si="14"/>
        <v>8.8595015576324005</v>
      </c>
      <c r="M255" s="28">
        <f t="shared" si="21"/>
        <v>-18083.259999999998</v>
      </c>
      <c r="N255" s="72">
        <f t="shared" si="18"/>
        <v>24</v>
      </c>
      <c r="O255" s="14" t="s">
        <v>29</v>
      </c>
      <c r="P255" s="15">
        <v>1140.1600000000001</v>
      </c>
      <c r="Q255" s="15">
        <v>10340</v>
      </c>
      <c r="R255" s="16">
        <v>9200</v>
      </c>
      <c r="S255" s="49">
        <v>11.026692456479701</v>
      </c>
      <c r="T255" s="4">
        <f t="shared" si="16"/>
        <v>11.026692456479701</v>
      </c>
      <c r="U255" s="28">
        <f t="shared" si="17"/>
        <v>0</v>
      </c>
      <c r="V255" s="4"/>
      <c r="AA255" s="94"/>
      <c r="AB255" s="94"/>
      <c r="AC255" s="96"/>
      <c r="AD255" s="96"/>
      <c r="AE255" s="94"/>
      <c r="AF255" s="94"/>
    </row>
    <row r="256" spans="1:32" ht="15.75">
      <c r="A256" s="68">
        <f t="shared" si="19"/>
        <v>25</v>
      </c>
      <c r="B256" s="69" t="s">
        <v>99</v>
      </c>
      <c r="C256" s="70">
        <v>3530.02</v>
      </c>
      <c r="D256" s="70">
        <v>25440</v>
      </c>
      <c r="E256" s="71">
        <v>21920</v>
      </c>
      <c r="F256" s="54">
        <f t="shared" si="13"/>
        <v>13.875864779874201</v>
      </c>
      <c r="G256" s="28"/>
      <c r="H256" s="69" t="s">
        <v>15</v>
      </c>
      <c r="I256" s="70">
        <v>236.74</v>
      </c>
      <c r="J256" s="70">
        <v>2730</v>
      </c>
      <c r="K256" s="71">
        <v>2500</v>
      </c>
      <c r="L256" s="49">
        <f t="shared" si="14"/>
        <v>8.6717948717948694</v>
      </c>
      <c r="M256" s="28" t="e">
        <f>(#REF!-#REF!)-#REF!</f>
        <v>#REF!</v>
      </c>
      <c r="N256" s="72">
        <f t="shared" si="18"/>
        <v>25</v>
      </c>
      <c r="O256" s="14" t="s">
        <v>91</v>
      </c>
      <c r="P256" s="15">
        <v>2395.79</v>
      </c>
      <c r="Q256" s="15">
        <v>23250</v>
      </c>
      <c r="R256" s="16">
        <v>20900</v>
      </c>
      <c r="S256" s="49">
        <v>10.304473118279599</v>
      </c>
      <c r="T256" s="4">
        <f t="shared" si="16"/>
        <v>10.304473118279599</v>
      </c>
      <c r="U256" s="28">
        <f t="shared" si="17"/>
        <v>-3.0198066269804302E-14</v>
      </c>
      <c r="V256" s="4"/>
      <c r="AA256" s="94"/>
      <c r="AB256" s="94"/>
      <c r="AC256" s="95"/>
      <c r="AD256" s="95"/>
      <c r="AE256" s="94"/>
      <c r="AF256" s="94"/>
    </row>
    <row r="257" spans="1:32" ht="15.75">
      <c r="A257" s="68">
        <f t="shared" si="19"/>
        <v>26</v>
      </c>
      <c r="B257" s="69" t="s">
        <v>73</v>
      </c>
      <c r="C257" s="70">
        <v>586.47</v>
      </c>
      <c r="D257" s="70">
        <v>4250</v>
      </c>
      <c r="E257" s="71">
        <v>3650</v>
      </c>
      <c r="F257" s="54">
        <f t="shared" si="13"/>
        <v>13.799294117647101</v>
      </c>
      <c r="G257" s="28"/>
      <c r="H257" s="69" t="s">
        <v>14</v>
      </c>
      <c r="I257" s="70">
        <v>194.84</v>
      </c>
      <c r="J257" s="70">
        <v>2250</v>
      </c>
      <c r="K257" s="71">
        <v>2050</v>
      </c>
      <c r="L257" s="49">
        <f t="shared" si="14"/>
        <v>8.6595555555555492</v>
      </c>
      <c r="M257" s="28">
        <f>(J254-K254)-I254</f>
        <v>-25.53</v>
      </c>
      <c r="N257" s="72">
        <f t="shared" si="18"/>
        <v>26</v>
      </c>
      <c r="O257" s="14" t="s">
        <v>84</v>
      </c>
      <c r="P257" s="15">
        <v>239.35</v>
      </c>
      <c r="Q257" s="15">
        <v>2330</v>
      </c>
      <c r="R257" s="16">
        <v>2090</v>
      </c>
      <c r="S257" s="49">
        <v>10.2725321888412</v>
      </c>
      <c r="T257" s="4">
        <f t="shared" si="16"/>
        <v>10.2725321888412</v>
      </c>
      <c r="U257" s="28">
        <f t="shared" si="17"/>
        <v>0</v>
      </c>
      <c r="V257" s="4"/>
      <c r="AA257" s="94"/>
      <c r="AB257" s="94"/>
      <c r="AC257" s="96"/>
      <c r="AD257" s="96"/>
      <c r="AE257" s="94"/>
      <c r="AF257" s="94"/>
    </row>
    <row r="258" spans="1:32" ht="15.75">
      <c r="A258" s="68">
        <f t="shared" si="19"/>
        <v>27</v>
      </c>
      <c r="B258" s="69" t="s">
        <v>36</v>
      </c>
      <c r="C258" s="70">
        <v>1331.35</v>
      </c>
      <c r="D258" s="70">
        <v>9870</v>
      </c>
      <c r="E258" s="71">
        <v>8560</v>
      </c>
      <c r="F258" s="54">
        <f t="shared" si="13"/>
        <v>13.488855116514699</v>
      </c>
      <c r="G258" s="28"/>
      <c r="H258" s="69" t="s">
        <v>41</v>
      </c>
      <c r="I258" s="70">
        <v>4469.09</v>
      </c>
      <c r="J258" s="70">
        <v>57930</v>
      </c>
      <c r="K258" s="71">
        <v>62570</v>
      </c>
      <c r="L258" s="49">
        <f t="shared" si="14"/>
        <v>7.7146383566373196</v>
      </c>
      <c r="M258" s="28">
        <f>(J255-K255)-I255</f>
        <v>-3.16999999999996</v>
      </c>
      <c r="N258" s="72">
        <f t="shared" si="18"/>
        <v>27</v>
      </c>
      <c r="O258" s="14" t="s">
        <v>8</v>
      </c>
      <c r="P258" s="15">
        <v>1793.1</v>
      </c>
      <c r="Q258" s="15">
        <v>17610</v>
      </c>
      <c r="R258" s="16">
        <v>15840</v>
      </c>
      <c r="S258" s="49">
        <v>10.182282793867101</v>
      </c>
      <c r="T258" s="4">
        <f t="shared" si="16"/>
        <v>10.182282793867101</v>
      </c>
      <c r="U258" s="28">
        <f t="shared" si="17"/>
        <v>1.9539925233402799E-14</v>
      </c>
      <c r="V258" s="4"/>
      <c r="AA258" s="94"/>
      <c r="AB258" s="94"/>
      <c r="AC258" s="95"/>
      <c r="AD258" s="95"/>
      <c r="AE258" s="94"/>
      <c r="AF258" s="94"/>
    </row>
    <row r="259" spans="1:32" ht="15.75">
      <c r="A259" s="68">
        <f t="shared" si="19"/>
        <v>28</v>
      </c>
      <c r="B259" s="69" t="s">
        <v>82</v>
      </c>
      <c r="C259" s="70">
        <v>633.25</v>
      </c>
      <c r="D259" s="70">
        <v>5340</v>
      </c>
      <c r="E259" s="71">
        <v>4710</v>
      </c>
      <c r="F259" s="54">
        <f t="shared" si="13"/>
        <v>11.8586142322097</v>
      </c>
      <c r="G259" s="28"/>
      <c r="H259" s="69" t="s">
        <v>111</v>
      </c>
      <c r="I259" s="70">
        <v>170</v>
      </c>
      <c r="J259" s="70">
        <v>2270</v>
      </c>
      <c r="K259" s="71">
        <v>2100</v>
      </c>
      <c r="L259" s="49">
        <f t="shared" si="14"/>
        <v>7.4889867841409696</v>
      </c>
      <c r="M259" s="28">
        <f>(J256-K256)-I256</f>
        <v>-6.74000000000001</v>
      </c>
      <c r="N259" s="72">
        <f t="shared" si="18"/>
        <v>28</v>
      </c>
      <c r="O259" s="14" t="s">
        <v>80</v>
      </c>
      <c r="P259" s="15">
        <v>1099.07</v>
      </c>
      <c r="Q259" s="15">
        <v>10950</v>
      </c>
      <c r="R259" s="16">
        <v>9880</v>
      </c>
      <c r="S259" s="49">
        <v>10.037168949771701</v>
      </c>
      <c r="T259" s="4">
        <f t="shared" si="16"/>
        <v>10.037168949771701</v>
      </c>
      <c r="U259" s="28">
        <f t="shared" si="17"/>
        <v>0</v>
      </c>
      <c r="V259" s="4"/>
      <c r="AA259" s="94"/>
      <c r="AB259" s="94"/>
      <c r="AC259" s="95"/>
      <c r="AD259" s="95"/>
      <c r="AE259" s="94"/>
      <c r="AF259" s="94"/>
    </row>
    <row r="260" spans="1:32" ht="15.75">
      <c r="A260" s="68">
        <f t="shared" si="19"/>
        <v>29</v>
      </c>
      <c r="B260" s="69" t="s">
        <v>9</v>
      </c>
      <c r="C260" s="70">
        <v>442.71</v>
      </c>
      <c r="D260" s="70">
        <v>3830</v>
      </c>
      <c r="E260" s="71">
        <v>3390</v>
      </c>
      <c r="F260" s="54">
        <f t="shared" si="13"/>
        <v>11.5590078328982</v>
      </c>
      <c r="G260" s="28"/>
      <c r="H260" s="69" t="s">
        <v>54</v>
      </c>
      <c r="I260" s="70">
        <v>150.5</v>
      </c>
      <c r="J260" s="70">
        <v>2030</v>
      </c>
      <c r="K260" s="71">
        <v>1890</v>
      </c>
      <c r="L260" s="49">
        <f t="shared" si="14"/>
        <v>7.4137931034482802</v>
      </c>
      <c r="M260" s="28" t="e">
        <f>(#REF!-#REF!)-#REF!</f>
        <v>#REF!</v>
      </c>
      <c r="N260" s="72">
        <f t="shared" si="18"/>
        <v>29</v>
      </c>
      <c r="O260" s="14" t="s">
        <v>9</v>
      </c>
      <c r="P260" s="15">
        <v>532.74</v>
      </c>
      <c r="Q260" s="15">
        <v>5320</v>
      </c>
      <c r="R260" s="16">
        <v>4790</v>
      </c>
      <c r="S260" s="49">
        <v>10.013909774436099</v>
      </c>
      <c r="T260" s="4">
        <f t="shared" si="16"/>
        <v>10.013909774436099</v>
      </c>
      <c r="U260" s="28">
        <f t="shared" si="17"/>
        <v>0</v>
      </c>
      <c r="V260" s="4"/>
      <c r="AA260" s="94"/>
      <c r="AB260" s="94"/>
      <c r="AC260" s="95"/>
      <c r="AD260" s="95"/>
      <c r="AE260" s="94"/>
      <c r="AF260" s="94"/>
    </row>
    <row r="261" spans="1:32" ht="15.75">
      <c r="A261" s="68">
        <f t="shared" si="19"/>
        <v>30</v>
      </c>
      <c r="B261" s="69" t="s">
        <v>33</v>
      </c>
      <c r="C261" s="70">
        <v>396.83</v>
      </c>
      <c r="D261" s="70">
        <v>3510</v>
      </c>
      <c r="E261" s="71">
        <v>3110</v>
      </c>
      <c r="F261" s="54">
        <f t="shared" si="13"/>
        <v>11.305698005698</v>
      </c>
      <c r="G261" s="28"/>
      <c r="H261" s="69" t="s">
        <v>21</v>
      </c>
      <c r="I261" s="70">
        <v>97.33</v>
      </c>
      <c r="J261" s="70">
        <v>1420</v>
      </c>
      <c r="K261" s="71">
        <v>1330</v>
      </c>
      <c r="L261" s="49">
        <f t="shared" si="14"/>
        <v>6.8542253521126799</v>
      </c>
      <c r="M261" s="28" t="e">
        <f>(#REF!-#REF!)-#REF!</f>
        <v>#REF!</v>
      </c>
      <c r="N261" s="72">
        <f t="shared" si="18"/>
        <v>30</v>
      </c>
      <c r="O261" s="14" t="s">
        <v>36</v>
      </c>
      <c r="P261" s="15">
        <v>1891.08</v>
      </c>
      <c r="Q261" s="15">
        <v>19110</v>
      </c>
      <c r="R261" s="16">
        <v>17240</v>
      </c>
      <c r="S261" s="49">
        <v>9.8957613814756709</v>
      </c>
      <c r="T261" s="4">
        <f t="shared" si="16"/>
        <v>9.8957613814756709</v>
      </c>
      <c r="U261" s="28">
        <f t="shared" si="17"/>
        <v>0</v>
      </c>
      <c r="V261" s="4"/>
      <c r="AA261" s="94"/>
      <c r="AB261" s="94"/>
      <c r="AC261" s="96"/>
      <c r="AD261" s="95"/>
      <c r="AE261" s="94"/>
      <c r="AF261" s="94"/>
    </row>
    <row r="262" spans="1:32" ht="15.75">
      <c r="A262" s="68">
        <f t="shared" si="19"/>
        <v>31</v>
      </c>
      <c r="B262" s="69" t="s">
        <v>15</v>
      </c>
      <c r="C262" s="70">
        <v>24.49</v>
      </c>
      <c r="D262" s="70">
        <v>220</v>
      </c>
      <c r="E262" s="71">
        <v>190</v>
      </c>
      <c r="F262" s="54">
        <f t="shared" si="13"/>
        <v>11.1318181818182</v>
      </c>
      <c r="G262" s="28"/>
      <c r="H262" s="69" t="s">
        <v>71</v>
      </c>
      <c r="I262" s="70">
        <v>128.41</v>
      </c>
      <c r="J262" s="70">
        <v>1890</v>
      </c>
      <c r="K262" s="71">
        <v>6250</v>
      </c>
      <c r="L262" s="49">
        <f t="shared" si="14"/>
        <v>6.7941798941798899</v>
      </c>
      <c r="M262" s="28">
        <f>(J257-K257)-I257</f>
        <v>5.16</v>
      </c>
      <c r="N262" s="72">
        <f t="shared" si="18"/>
        <v>31</v>
      </c>
      <c r="O262" s="14" t="s">
        <v>102</v>
      </c>
      <c r="P262" s="15">
        <v>3483.83</v>
      </c>
      <c r="Q262" s="15">
        <v>35870</v>
      </c>
      <c r="R262" s="16">
        <v>32490</v>
      </c>
      <c r="S262" s="49">
        <v>9.7123780317814301</v>
      </c>
      <c r="T262" s="4">
        <f t="shared" si="16"/>
        <v>9.7123780317814301</v>
      </c>
      <c r="U262" s="28">
        <f t="shared" si="17"/>
        <v>0</v>
      </c>
      <c r="V262" s="4"/>
      <c r="AA262" s="94"/>
      <c r="AB262" s="94"/>
      <c r="AC262" s="96"/>
      <c r="AD262" s="96"/>
      <c r="AE262" s="94"/>
      <c r="AF262" s="94"/>
    </row>
    <row r="263" spans="1:32" ht="15.75">
      <c r="A263" s="68">
        <f t="shared" si="19"/>
        <v>32</v>
      </c>
      <c r="B263" s="69" t="s">
        <v>18</v>
      </c>
      <c r="C263" s="70">
        <v>126.13</v>
      </c>
      <c r="D263" s="70">
        <v>1150</v>
      </c>
      <c r="E263" s="71">
        <v>1000</v>
      </c>
      <c r="F263" s="54">
        <f t="shared" si="13"/>
        <v>10.967826086956499</v>
      </c>
      <c r="G263" s="28"/>
      <c r="H263" s="69" t="s">
        <v>53</v>
      </c>
      <c r="I263" s="70">
        <v>1227.4659999999999</v>
      </c>
      <c r="J263" s="70">
        <v>18360</v>
      </c>
      <c r="K263" s="71">
        <v>17130</v>
      </c>
      <c r="L263" s="49">
        <f t="shared" si="14"/>
        <v>6.6855446623093702</v>
      </c>
      <c r="M263" s="28" t="e">
        <f>(#REF!-#REF!)-#REF!</f>
        <v>#REF!</v>
      </c>
      <c r="N263" s="72">
        <f t="shared" si="18"/>
        <v>32</v>
      </c>
      <c r="O263" s="14" t="s">
        <v>21</v>
      </c>
      <c r="P263" s="15">
        <v>386.36</v>
      </c>
      <c r="Q263" s="15">
        <v>4340</v>
      </c>
      <c r="R263" s="16">
        <v>12920</v>
      </c>
      <c r="S263" s="49">
        <v>8.9023041474654399</v>
      </c>
      <c r="T263" s="4">
        <f t="shared" si="16"/>
        <v>8.9023041474654399</v>
      </c>
      <c r="U263" s="28">
        <f t="shared" si="17"/>
        <v>0</v>
      </c>
      <c r="V263" s="4"/>
      <c r="AA263" s="94"/>
      <c r="AB263" s="94"/>
      <c r="AC263" s="95"/>
      <c r="AD263" s="95"/>
      <c r="AE263" s="94"/>
      <c r="AF263" s="94"/>
    </row>
    <row r="264" spans="1:32" ht="15.75">
      <c r="A264" s="68">
        <f t="shared" si="19"/>
        <v>33</v>
      </c>
      <c r="B264" s="69" t="s">
        <v>12</v>
      </c>
      <c r="C264" s="70">
        <v>1112.1199999999999</v>
      </c>
      <c r="D264" s="70">
        <v>10550</v>
      </c>
      <c r="E264" s="71">
        <v>9470</v>
      </c>
      <c r="F264" s="54">
        <f t="shared" ref="F264:F295" si="22">(C264/D264)*100</f>
        <v>10.5414218009479</v>
      </c>
      <c r="G264" s="28"/>
      <c r="H264" s="69" t="s">
        <v>94</v>
      </c>
      <c r="I264" s="70">
        <v>316.97000000000003</v>
      </c>
      <c r="J264" s="70">
        <v>4790</v>
      </c>
      <c r="K264" s="71">
        <v>4490</v>
      </c>
      <c r="L264" s="49">
        <f t="shared" ref="L264:L295" si="23">(I264/J264)*100</f>
        <v>6.6173277661795398</v>
      </c>
      <c r="M264" s="28">
        <f t="shared" ref="M264:M303" si="24">(J258-K258)-I258</f>
        <v>-9109.09</v>
      </c>
      <c r="N264" s="72">
        <f t="shared" si="18"/>
        <v>33</v>
      </c>
      <c r="O264" s="14" t="s">
        <v>55</v>
      </c>
      <c r="P264" s="15">
        <v>1119.98</v>
      </c>
      <c r="Q264" s="15">
        <v>12590</v>
      </c>
      <c r="R264" s="16">
        <v>11440</v>
      </c>
      <c r="S264" s="49">
        <v>8.8957903097696605</v>
      </c>
      <c r="T264" s="4">
        <f t="shared" ref="T264:T296" si="25">(P264/Q264)*100</f>
        <v>8.8957903097696605</v>
      </c>
      <c r="U264" s="28">
        <f t="shared" ref="U264:U295" si="26">T264-S264</f>
        <v>0</v>
      </c>
      <c r="V264" s="4">
        <f>525.74+819.33</f>
        <v>1345.07</v>
      </c>
      <c r="AA264" s="94"/>
      <c r="AB264" s="94"/>
      <c r="AC264" s="94"/>
      <c r="AD264" s="94"/>
      <c r="AE264" s="94"/>
      <c r="AF264" s="94"/>
    </row>
    <row r="265" spans="1:32" ht="15.75">
      <c r="A265" s="68">
        <f t="shared" si="19"/>
        <v>34</v>
      </c>
      <c r="B265" s="69" t="s">
        <v>8</v>
      </c>
      <c r="C265" s="70">
        <v>1223.01</v>
      </c>
      <c r="D265" s="70">
        <v>11760</v>
      </c>
      <c r="E265" s="71">
        <v>10540</v>
      </c>
      <c r="F265" s="54">
        <f t="shared" si="22"/>
        <v>10.3997448979592</v>
      </c>
      <c r="G265" s="28"/>
      <c r="H265" s="69" t="s">
        <v>33</v>
      </c>
      <c r="I265" s="70">
        <v>338.08</v>
      </c>
      <c r="J265" s="70">
        <v>5140</v>
      </c>
      <c r="K265" s="71">
        <v>4800</v>
      </c>
      <c r="L265" s="49">
        <f t="shared" si="23"/>
        <v>6.5774319066147902</v>
      </c>
      <c r="M265" s="28">
        <f t="shared" si="24"/>
        <v>0</v>
      </c>
      <c r="N265" s="72">
        <f t="shared" ref="N265:N296" si="27">1+N264</f>
        <v>34</v>
      </c>
      <c r="O265" s="14" t="s">
        <v>15</v>
      </c>
      <c r="P265" s="15">
        <v>261.23</v>
      </c>
      <c r="Q265" s="15">
        <v>2950</v>
      </c>
      <c r="R265" s="16">
        <v>2690</v>
      </c>
      <c r="S265" s="49">
        <v>8.8552542372881398</v>
      </c>
      <c r="T265" s="4">
        <f t="shared" si="25"/>
        <v>8.8552542372881398</v>
      </c>
      <c r="U265" s="28">
        <f t="shared" si="26"/>
        <v>0</v>
      </c>
      <c r="V265" s="4"/>
      <c r="AA265" s="94"/>
      <c r="AB265" s="94"/>
      <c r="AC265" s="97"/>
      <c r="AD265" s="97"/>
      <c r="AE265" s="94"/>
      <c r="AF265" s="94"/>
    </row>
    <row r="266" spans="1:32" ht="15.75">
      <c r="A266" s="68">
        <f t="shared" si="19"/>
        <v>35</v>
      </c>
      <c r="B266" s="69" t="s">
        <v>49</v>
      </c>
      <c r="C266" s="70">
        <v>416.14</v>
      </c>
      <c r="D266" s="70">
        <v>4090</v>
      </c>
      <c r="E266" s="71">
        <v>3690</v>
      </c>
      <c r="F266" s="54">
        <f t="shared" si="22"/>
        <v>10.174572127139401</v>
      </c>
      <c r="G266" s="28"/>
      <c r="H266" s="69" t="s">
        <v>109</v>
      </c>
      <c r="I266" s="70">
        <v>1340</v>
      </c>
      <c r="J266" s="70">
        <v>21180</v>
      </c>
      <c r="K266" s="71">
        <v>19840</v>
      </c>
      <c r="L266" s="49">
        <f t="shared" si="23"/>
        <v>6.3267233238904597</v>
      </c>
      <c r="M266" s="28">
        <f t="shared" si="24"/>
        <v>-10.5</v>
      </c>
      <c r="N266" s="72">
        <f t="shared" si="27"/>
        <v>35</v>
      </c>
      <c r="O266" s="14" t="s">
        <v>98</v>
      </c>
      <c r="P266" s="15">
        <v>2882.16</v>
      </c>
      <c r="Q266" s="15">
        <v>33410</v>
      </c>
      <c r="R266" s="16">
        <v>30600</v>
      </c>
      <c r="S266" s="49">
        <v>8.6266387309188897</v>
      </c>
      <c r="T266" s="4">
        <f t="shared" si="25"/>
        <v>8.6266387309188897</v>
      </c>
      <c r="U266" s="28">
        <f t="shared" si="26"/>
        <v>0</v>
      </c>
      <c r="V266" s="4"/>
      <c r="AA266" s="94"/>
      <c r="AB266" s="94"/>
      <c r="AC266" s="97"/>
      <c r="AD266" s="94"/>
      <c r="AE266" s="94"/>
      <c r="AF266" s="94"/>
    </row>
    <row r="267" spans="1:32" ht="15.75">
      <c r="A267" s="68">
        <f t="shared" ref="A267:A298" si="28">1+A266</f>
        <v>36</v>
      </c>
      <c r="B267" s="69" t="s">
        <v>21</v>
      </c>
      <c r="C267" s="70">
        <v>289.02999999999997</v>
      </c>
      <c r="D267" s="70">
        <v>2920</v>
      </c>
      <c r="E267" s="71">
        <v>11590</v>
      </c>
      <c r="F267" s="54">
        <f t="shared" si="22"/>
        <v>9.8982876712328807</v>
      </c>
      <c r="G267" s="28"/>
      <c r="H267" s="69" t="s">
        <v>56</v>
      </c>
      <c r="I267" s="70">
        <v>358.83699999999999</v>
      </c>
      <c r="J267" s="70">
        <v>5780</v>
      </c>
      <c r="K267" s="71">
        <v>5440</v>
      </c>
      <c r="L267" s="49">
        <f t="shared" si="23"/>
        <v>6.2082525951557104</v>
      </c>
      <c r="M267" s="28">
        <f t="shared" si="24"/>
        <v>-7.33</v>
      </c>
      <c r="N267" s="72">
        <f t="shared" si="27"/>
        <v>36</v>
      </c>
      <c r="O267" s="14" t="s">
        <v>66</v>
      </c>
      <c r="P267" s="15">
        <v>3086.48</v>
      </c>
      <c r="Q267" s="15">
        <v>35910</v>
      </c>
      <c r="R267" s="16">
        <v>50920</v>
      </c>
      <c r="S267" s="49">
        <v>8.5950431634642204</v>
      </c>
      <c r="T267" s="4">
        <f t="shared" si="25"/>
        <v>8.5950431634642204</v>
      </c>
      <c r="U267" s="28">
        <f t="shared" si="26"/>
        <v>0</v>
      </c>
      <c r="V267" s="4"/>
      <c r="AA267" s="94"/>
      <c r="AB267" s="94"/>
      <c r="AC267" s="94"/>
      <c r="AD267" s="94"/>
      <c r="AE267" s="94"/>
      <c r="AF267" s="94"/>
    </row>
    <row r="268" spans="1:32" ht="15.75">
      <c r="A268" s="68">
        <f t="shared" si="28"/>
        <v>37</v>
      </c>
      <c r="B268" s="69" t="s">
        <v>72</v>
      </c>
      <c r="C268" s="70">
        <v>355.83</v>
      </c>
      <c r="D268" s="70">
        <v>3760</v>
      </c>
      <c r="E268" s="71">
        <v>3400</v>
      </c>
      <c r="F268" s="54">
        <f t="shared" si="22"/>
        <v>9.4635638297872298</v>
      </c>
      <c r="G268" s="28"/>
      <c r="H268" s="69" t="s">
        <v>36</v>
      </c>
      <c r="I268" s="70">
        <v>559.73</v>
      </c>
      <c r="J268" s="70">
        <v>9240</v>
      </c>
      <c r="K268" s="71">
        <v>8680</v>
      </c>
      <c r="L268" s="49">
        <f t="shared" si="23"/>
        <v>6.0576839826839803</v>
      </c>
      <c r="M268" s="28">
        <f t="shared" si="24"/>
        <v>-4488.41</v>
      </c>
      <c r="N268" s="72">
        <f t="shared" si="27"/>
        <v>37</v>
      </c>
      <c r="O268" s="14" t="s">
        <v>33</v>
      </c>
      <c r="P268" s="15">
        <v>734.91</v>
      </c>
      <c r="Q268" s="15">
        <v>8650</v>
      </c>
      <c r="R268" s="16">
        <v>7910</v>
      </c>
      <c r="S268" s="49">
        <v>8.4960693641618494</v>
      </c>
      <c r="T268" s="4">
        <f t="shared" si="25"/>
        <v>8.4960693641618494</v>
      </c>
      <c r="U268" s="28">
        <f t="shared" si="26"/>
        <v>0</v>
      </c>
      <c r="V268" s="4"/>
      <c r="AA268" s="94"/>
      <c r="AB268" s="94"/>
      <c r="AC268" s="94"/>
      <c r="AD268" s="94"/>
      <c r="AE268" s="94"/>
      <c r="AF268" s="94"/>
    </row>
    <row r="269" spans="1:32" ht="15.75">
      <c r="A269" s="68">
        <f t="shared" si="28"/>
        <v>38</v>
      </c>
      <c r="B269" s="69" t="s">
        <v>57</v>
      </c>
      <c r="C269" s="70">
        <v>256.12</v>
      </c>
      <c r="D269" s="70">
        <v>2730</v>
      </c>
      <c r="E269" s="71">
        <v>2490</v>
      </c>
      <c r="F269" s="54">
        <f t="shared" si="22"/>
        <v>9.3816849816849803</v>
      </c>
      <c r="G269" s="28"/>
      <c r="H269" s="69" t="s">
        <v>9</v>
      </c>
      <c r="I269" s="70">
        <v>90.03</v>
      </c>
      <c r="J269" s="70">
        <v>1490</v>
      </c>
      <c r="K269" s="71">
        <v>1400</v>
      </c>
      <c r="L269" s="49">
        <f t="shared" si="23"/>
        <v>6.04228187919463</v>
      </c>
      <c r="M269" s="28">
        <f t="shared" si="24"/>
        <v>2.5340000000001099</v>
      </c>
      <c r="N269" s="72">
        <f t="shared" si="27"/>
        <v>38</v>
      </c>
      <c r="O269" s="14" t="s">
        <v>26</v>
      </c>
      <c r="P269" s="15">
        <v>2400.7399999999998</v>
      </c>
      <c r="Q269" s="15">
        <v>28660</v>
      </c>
      <c r="R269" s="16">
        <v>35330</v>
      </c>
      <c r="S269" s="49">
        <v>8.3766224703419407</v>
      </c>
      <c r="T269" s="4">
        <f t="shared" si="25"/>
        <v>8.3766224703419407</v>
      </c>
      <c r="U269" s="28">
        <f t="shared" si="26"/>
        <v>0</v>
      </c>
      <c r="V269" s="4"/>
      <c r="AA269" s="94"/>
      <c r="AB269" s="94"/>
      <c r="AC269" s="94"/>
      <c r="AD269" s="94"/>
      <c r="AE269" s="94"/>
      <c r="AF269" s="94"/>
    </row>
    <row r="270" spans="1:32" ht="15.75">
      <c r="A270" s="68">
        <f t="shared" si="28"/>
        <v>39</v>
      </c>
      <c r="B270" s="69" t="s">
        <v>64</v>
      </c>
      <c r="C270" s="70">
        <v>617.24</v>
      </c>
      <c r="D270" s="70">
        <v>7060</v>
      </c>
      <c r="E270" s="71">
        <v>6450</v>
      </c>
      <c r="F270" s="54">
        <f t="shared" si="22"/>
        <v>8.7427762039660095</v>
      </c>
      <c r="G270" s="28"/>
      <c r="H270" s="69" t="s">
        <v>43</v>
      </c>
      <c r="I270" s="70">
        <v>105.26</v>
      </c>
      <c r="J270" s="70">
        <v>1760</v>
      </c>
      <c r="K270" s="71">
        <v>1690</v>
      </c>
      <c r="L270" s="49">
        <f t="shared" si="23"/>
        <v>5.9806818181818198</v>
      </c>
      <c r="M270" s="28">
        <f t="shared" si="24"/>
        <v>-16.97</v>
      </c>
      <c r="N270" s="72">
        <f t="shared" si="27"/>
        <v>39</v>
      </c>
      <c r="O270" s="14" t="s">
        <v>79</v>
      </c>
      <c r="P270" s="15">
        <v>1868.83</v>
      </c>
      <c r="Q270" s="15">
        <v>23180</v>
      </c>
      <c r="R270" s="16">
        <v>21320</v>
      </c>
      <c r="S270" s="49">
        <v>8.0622519413287304</v>
      </c>
      <c r="T270" s="4">
        <f t="shared" si="25"/>
        <v>8.0622519413287304</v>
      </c>
      <c r="U270" s="28">
        <f t="shared" si="26"/>
        <v>0</v>
      </c>
      <c r="V270" s="4"/>
      <c r="AA270" s="94"/>
      <c r="AB270" s="94"/>
      <c r="AC270" s="94"/>
      <c r="AD270" s="94"/>
      <c r="AE270" s="94"/>
      <c r="AF270" s="94"/>
    </row>
    <row r="271" spans="1:32" ht="15.75">
      <c r="A271" s="68">
        <f t="shared" si="28"/>
        <v>40</v>
      </c>
      <c r="B271" s="69" t="s">
        <v>79</v>
      </c>
      <c r="C271" s="70">
        <v>1614.08</v>
      </c>
      <c r="D271" s="70">
        <v>18500</v>
      </c>
      <c r="E271" s="71">
        <v>16890</v>
      </c>
      <c r="F271" s="54">
        <f t="shared" si="22"/>
        <v>8.7247567567567597</v>
      </c>
      <c r="G271" s="28"/>
      <c r="H271" s="69" t="s">
        <v>76</v>
      </c>
      <c r="I271" s="70">
        <v>445.83</v>
      </c>
      <c r="J271" s="70">
        <v>7500</v>
      </c>
      <c r="K271" s="71">
        <v>7030</v>
      </c>
      <c r="L271" s="49">
        <f t="shared" si="23"/>
        <v>5.9443999999999999</v>
      </c>
      <c r="M271" s="28">
        <f t="shared" si="24"/>
        <v>1.9200000000000199</v>
      </c>
      <c r="N271" s="72">
        <f t="shared" si="27"/>
        <v>40</v>
      </c>
      <c r="O271" s="14" t="s">
        <v>64</v>
      </c>
      <c r="P271" s="15">
        <v>866.21</v>
      </c>
      <c r="Q271" s="15">
        <v>11540</v>
      </c>
      <c r="R271" s="16">
        <v>10690</v>
      </c>
      <c r="S271" s="49">
        <v>7.5061525129982698</v>
      </c>
      <c r="T271" s="4">
        <f t="shared" si="25"/>
        <v>7.5061525129982698</v>
      </c>
      <c r="U271" s="28">
        <f t="shared" si="26"/>
        <v>0</v>
      </c>
      <c r="V271" s="4"/>
      <c r="AA271" s="94"/>
      <c r="AB271" s="94"/>
      <c r="AC271" s="94"/>
      <c r="AD271" s="94"/>
      <c r="AE271" s="94"/>
      <c r="AF271" s="94"/>
    </row>
    <row r="272" spans="1:32" ht="15.75">
      <c r="A272" s="68">
        <f t="shared" si="28"/>
        <v>41</v>
      </c>
      <c r="B272" s="69" t="s">
        <v>39</v>
      </c>
      <c r="C272" s="70">
        <v>326.79000000000002</v>
      </c>
      <c r="D272" s="70">
        <v>3810</v>
      </c>
      <c r="E272" s="71">
        <v>3470</v>
      </c>
      <c r="F272" s="54">
        <f t="shared" si="22"/>
        <v>8.5771653543307096</v>
      </c>
      <c r="G272" s="28"/>
      <c r="H272" s="69" t="s">
        <v>83</v>
      </c>
      <c r="I272" s="70">
        <v>121.06</v>
      </c>
      <c r="J272" s="70">
        <v>2120</v>
      </c>
      <c r="K272" s="71">
        <v>2000</v>
      </c>
      <c r="L272" s="49">
        <f t="shared" si="23"/>
        <v>5.7103773584905699</v>
      </c>
      <c r="M272" s="28">
        <f t="shared" si="24"/>
        <v>0</v>
      </c>
      <c r="N272" s="72">
        <f t="shared" si="27"/>
        <v>41</v>
      </c>
      <c r="O272" s="14" t="s">
        <v>83</v>
      </c>
      <c r="P272" s="15">
        <v>553.09</v>
      </c>
      <c r="Q272" s="15">
        <v>7500</v>
      </c>
      <c r="R272" s="16">
        <v>6950</v>
      </c>
      <c r="S272" s="49">
        <v>7.3745333333333303</v>
      </c>
      <c r="T272" s="4">
        <f t="shared" si="25"/>
        <v>7.3745333333333303</v>
      </c>
      <c r="U272" s="28">
        <f t="shared" si="26"/>
        <v>0</v>
      </c>
      <c r="V272" s="4"/>
      <c r="AA272" s="94"/>
      <c r="AB272" s="94"/>
      <c r="AC272" s="94"/>
      <c r="AD272" s="94"/>
      <c r="AE272" s="94"/>
      <c r="AF272" s="94"/>
    </row>
    <row r="273" spans="1:32" ht="15.75">
      <c r="A273" s="68">
        <f t="shared" si="28"/>
        <v>42</v>
      </c>
      <c r="B273" s="69" t="s">
        <v>28</v>
      </c>
      <c r="C273" s="70">
        <v>219.74</v>
      </c>
      <c r="D273" s="70">
        <v>2570</v>
      </c>
      <c r="E273" s="71">
        <v>2340</v>
      </c>
      <c r="F273" s="54">
        <f t="shared" si="22"/>
        <v>8.5501945525291791</v>
      </c>
      <c r="G273" s="28"/>
      <c r="H273" s="69" t="s">
        <v>64</v>
      </c>
      <c r="I273" s="70">
        <v>248.97</v>
      </c>
      <c r="J273" s="70">
        <v>4480</v>
      </c>
      <c r="K273" s="71">
        <v>4240</v>
      </c>
      <c r="L273" s="49">
        <f t="shared" si="23"/>
        <v>5.5573660714285698</v>
      </c>
      <c r="M273" s="28">
        <f t="shared" si="24"/>
        <v>-18.837</v>
      </c>
      <c r="N273" s="72">
        <f t="shared" si="27"/>
        <v>42</v>
      </c>
      <c r="O273" s="14" t="s">
        <v>89</v>
      </c>
      <c r="P273" s="15">
        <v>343.15</v>
      </c>
      <c r="Q273" s="15">
        <v>4690</v>
      </c>
      <c r="R273" s="16">
        <v>4340</v>
      </c>
      <c r="S273" s="49">
        <v>7.3166311300639704</v>
      </c>
      <c r="T273" s="4">
        <f t="shared" si="25"/>
        <v>7.3166311300639704</v>
      </c>
      <c r="U273" s="28">
        <f t="shared" si="26"/>
        <v>0</v>
      </c>
      <c r="V273" s="4"/>
      <c r="AA273" s="94"/>
      <c r="AB273" s="94"/>
      <c r="AC273" s="94"/>
      <c r="AD273" s="94"/>
      <c r="AE273" s="94"/>
      <c r="AF273" s="94"/>
    </row>
    <row r="274" spans="1:32" ht="15.75">
      <c r="A274" s="68">
        <f t="shared" si="28"/>
        <v>43</v>
      </c>
      <c r="B274" s="69" t="s">
        <v>23</v>
      </c>
      <c r="C274" s="70">
        <v>512.71</v>
      </c>
      <c r="D274" s="70">
        <v>6040</v>
      </c>
      <c r="E274" s="71">
        <v>5540</v>
      </c>
      <c r="F274" s="54">
        <f t="shared" si="22"/>
        <v>8.4885761589404005</v>
      </c>
      <c r="G274" s="28"/>
      <c r="H274" s="69" t="s">
        <v>79</v>
      </c>
      <c r="I274" s="70">
        <v>254.75</v>
      </c>
      <c r="J274" s="70">
        <v>4680</v>
      </c>
      <c r="K274" s="71">
        <v>4430</v>
      </c>
      <c r="L274" s="49">
        <f t="shared" si="23"/>
        <v>5.4433760683760699</v>
      </c>
      <c r="M274" s="28">
        <f t="shared" si="24"/>
        <v>0.26999999999998198</v>
      </c>
      <c r="N274" s="72">
        <f t="shared" si="27"/>
        <v>43</v>
      </c>
      <c r="O274" s="14" t="s">
        <v>10</v>
      </c>
      <c r="P274" s="15">
        <v>842.375</v>
      </c>
      <c r="Q274" s="15">
        <v>11600</v>
      </c>
      <c r="R274" s="16">
        <v>10760</v>
      </c>
      <c r="S274" s="49">
        <v>7.2618534482758603</v>
      </c>
      <c r="T274" s="4">
        <f t="shared" si="25"/>
        <v>7.2618534482758603</v>
      </c>
      <c r="U274" s="28">
        <f t="shared" si="26"/>
        <v>0</v>
      </c>
      <c r="V274" s="4"/>
      <c r="AA274" s="94"/>
      <c r="AB274" s="94"/>
      <c r="AC274" s="94"/>
      <c r="AD274" s="94"/>
      <c r="AE274" s="94"/>
      <c r="AF274" s="94"/>
    </row>
    <row r="275" spans="1:32" ht="15.75">
      <c r="A275" s="68">
        <f t="shared" si="28"/>
        <v>44</v>
      </c>
      <c r="B275" s="69" t="s">
        <v>86</v>
      </c>
      <c r="C275" s="70">
        <v>781.4</v>
      </c>
      <c r="D275" s="70">
        <v>9280</v>
      </c>
      <c r="E275" s="71">
        <v>8500</v>
      </c>
      <c r="F275" s="54">
        <f t="shared" si="22"/>
        <v>8.4202586206896495</v>
      </c>
      <c r="G275" s="28"/>
      <c r="H275" s="69" t="s">
        <v>22</v>
      </c>
      <c r="I275" s="70">
        <v>81.02</v>
      </c>
      <c r="J275" s="70">
        <v>1530</v>
      </c>
      <c r="K275" s="71">
        <v>1450</v>
      </c>
      <c r="L275" s="49">
        <f t="shared" si="23"/>
        <v>5.2954248366013097</v>
      </c>
      <c r="M275" s="28">
        <f t="shared" si="24"/>
        <v>-3.0000000000001099E-2</v>
      </c>
      <c r="N275" s="72">
        <f t="shared" si="27"/>
        <v>44</v>
      </c>
      <c r="O275" s="14" t="s">
        <v>54</v>
      </c>
      <c r="P275" s="15">
        <v>349.05</v>
      </c>
      <c r="Q275" s="15">
        <v>4890</v>
      </c>
      <c r="R275" s="16">
        <v>4540</v>
      </c>
      <c r="S275" s="49">
        <v>7.1380368098159499</v>
      </c>
      <c r="T275" s="4">
        <f t="shared" si="25"/>
        <v>7.1380368098159499</v>
      </c>
      <c r="U275" s="28">
        <f t="shared" si="26"/>
        <v>0</v>
      </c>
      <c r="V275" s="4"/>
      <c r="AA275" s="94"/>
      <c r="AB275" s="94"/>
      <c r="AC275" s="94"/>
      <c r="AD275" s="94"/>
      <c r="AE275" s="94"/>
      <c r="AF275" s="94"/>
    </row>
    <row r="276" spans="1:32" ht="15.75">
      <c r="A276" s="68">
        <f t="shared" si="28"/>
        <v>45</v>
      </c>
      <c r="B276" s="69" t="s">
        <v>66</v>
      </c>
      <c r="C276" s="70">
        <v>2033.22</v>
      </c>
      <c r="D276" s="70">
        <v>24320</v>
      </c>
      <c r="E276" s="71">
        <v>22300</v>
      </c>
      <c r="F276" s="54">
        <f t="shared" si="22"/>
        <v>8.3602796052631607</v>
      </c>
      <c r="G276" s="28"/>
      <c r="H276" s="69" t="s">
        <v>17</v>
      </c>
      <c r="I276" s="70">
        <v>224.24</v>
      </c>
      <c r="J276" s="70">
        <v>4340</v>
      </c>
      <c r="K276" s="71">
        <v>4090</v>
      </c>
      <c r="L276" s="49">
        <f t="shared" si="23"/>
        <v>5.1668202764976998</v>
      </c>
      <c r="M276" s="28">
        <f t="shared" si="24"/>
        <v>-35.26</v>
      </c>
      <c r="N276" s="72">
        <f t="shared" si="27"/>
        <v>45</v>
      </c>
      <c r="O276" s="14" t="s">
        <v>94</v>
      </c>
      <c r="P276" s="15">
        <v>954.3</v>
      </c>
      <c r="Q276" s="15">
        <v>14640</v>
      </c>
      <c r="R276" s="16">
        <v>13710</v>
      </c>
      <c r="S276" s="49">
        <v>6.5184426229508201</v>
      </c>
      <c r="T276" s="4">
        <f t="shared" si="25"/>
        <v>6.5184426229508201</v>
      </c>
      <c r="U276" s="28">
        <f t="shared" si="26"/>
        <v>0</v>
      </c>
      <c r="V276" s="4"/>
      <c r="AA276" s="94"/>
      <c r="AB276" s="94"/>
      <c r="AC276" s="94"/>
      <c r="AD276" s="94"/>
      <c r="AE276" s="94"/>
      <c r="AF276" s="94"/>
    </row>
    <row r="277" spans="1:32" ht="15.75">
      <c r="A277" s="68">
        <f t="shared" si="28"/>
        <v>46</v>
      </c>
      <c r="B277" s="69" t="s">
        <v>55</v>
      </c>
      <c r="C277" s="70">
        <v>715.05</v>
      </c>
      <c r="D277" s="70">
        <v>8890</v>
      </c>
      <c r="E277" s="71">
        <v>8150</v>
      </c>
      <c r="F277" s="54">
        <f t="shared" si="22"/>
        <v>8.0433070866141705</v>
      </c>
      <c r="G277" s="28"/>
      <c r="H277" s="69" t="s">
        <v>67</v>
      </c>
      <c r="I277" s="70">
        <v>736.55</v>
      </c>
      <c r="J277" s="70">
        <v>14260</v>
      </c>
      <c r="K277" s="71">
        <v>13530</v>
      </c>
      <c r="L277" s="49">
        <f t="shared" si="23"/>
        <v>5.1651472650771399</v>
      </c>
      <c r="M277" s="28">
        <f t="shared" si="24"/>
        <v>24.17</v>
      </c>
      <c r="N277" s="72">
        <f t="shared" si="27"/>
        <v>46</v>
      </c>
      <c r="O277" s="14" t="s">
        <v>56</v>
      </c>
      <c r="P277" s="15">
        <v>1656.9780000000001</v>
      </c>
      <c r="Q277" s="15">
        <v>25840</v>
      </c>
      <c r="R277" s="16">
        <v>24190</v>
      </c>
      <c r="S277" s="49">
        <v>6.41245356037152</v>
      </c>
      <c r="T277" s="4">
        <f t="shared" si="25"/>
        <v>6.41245356037152</v>
      </c>
      <c r="U277" s="28">
        <f t="shared" si="26"/>
        <v>0</v>
      </c>
      <c r="V277" s="4"/>
      <c r="AA277" s="94"/>
      <c r="AB277" s="94"/>
      <c r="AC277" s="94"/>
      <c r="AD277" s="94"/>
      <c r="AE277" s="94"/>
      <c r="AF277" s="94"/>
    </row>
    <row r="278" spans="1:32" ht="15.75">
      <c r="A278" s="68">
        <f t="shared" si="28"/>
        <v>47</v>
      </c>
      <c r="B278" s="69" t="s">
        <v>83</v>
      </c>
      <c r="C278" s="70">
        <v>432.03</v>
      </c>
      <c r="D278" s="70">
        <v>5380</v>
      </c>
      <c r="E278" s="71">
        <v>4950</v>
      </c>
      <c r="F278" s="54">
        <f t="shared" si="22"/>
        <v>8.0302973977695196</v>
      </c>
      <c r="G278" s="28"/>
      <c r="H278" s="69" t="s">
        <v>38</v>
      </c>
      <c r="I278" s="70">
        <v>270.36</v>
      </c>
      <c r="J278" s="70">
        <v>5520</v>
      </c>
      <c r="K278" s="71">
        <v>5240</v>
      </c>
      <c r="L278" s="49">
        <f t="shared" si="23"/>
        <v>4.8978260869565204</v>
      </c>
      <c r="M278" s="28">
        <f t="shared" si="24"/>
        <v>-1.06</v>
      </c>
      <c r="N278" s="72">
        <f t="shared" si="27"/>
        <v>47</v>
      </c>
      <c r="O278" s="14" t="s">
        <v>22</v>
      </c>
      <c r="P278" s="15">
        <v>463.41</v>
      </c>
      <c r="Q278" s="15">
        <v>7230</v>
      </c>
      <c r="R278" s="16">
        <v>6770</v>
      </c>
      <c r="S278" s="49">
        <v>6.4095435684647297</v>
      </c>
      <c r="T278" s="4">
        <f t="shared" si="25"/>
        <v>6.4095435684647297</v>
      </c>
      <c r="U278" s="28">
        <f t="shared" si="26"/>
        <v>0</v>
      </c>
      <c r="V278" s="4"/>
      <c r="AA278" s="94"/>
      <c r="AB278" s="94"/>
      <c r="AC278" s="94"/>
      <c r="AD278" s="94"/>
      <c r="AE278" s="94"/>
      <c r="AF278" s="94"/>
    </row>
    <row r="279" spans="1:32" ht="15.75">
      <c r="A279" s="68">
        <f t="shared" si="28"/>
        <v>48</v>
      </c>
      <c r="B279" s="69" t="s">
        <v>91</v>
      </c>
      <c r="C279" s="70">
        <v>1464.43</v>
      </c>
      <c r="D279" s="70">
        <v>18620</v>
      </c>
      <c r="E279" s="71">
        <v>17180</v>
      </c>
      <c r="F279" s="54">
        <f t="shared" si="22"/>
        <v>7.86482277121375</v>
      </c>
      <c r="G279" s="28"/>
      <c r="H279" s="69" t="s">
        <v>62</v>
      </c>
      <c r="I279" s="70">
        <v>416.97</v>
      </c>
      <c r="J279" s="70">
        <v>8750</v>
      </c>
      <c r="K279" s="71">
        <v>8330</v>
      </c>
      <c r="L279" s="49">
        <f t="shared" si="23"/>
        <v>4.7653714285714299</v>
      </c>
      <c r="M279" s="28">
        <f t="shared" si="24"/>
        <v>-8.9700000000000006</v>
      </c>
      <c r="N279" s="72">
        <f t="shared" si="27"/>
        <v>48</v>
      </c>
      <c r="O279" s="14" t="s">
        <v>72</v>
      </c>
      <c r="P279" s="15">
        <v>662.97</v>
      </c>
      <c r="Q279" s="15">
        <v>10440</v>
      </c>
      <c r="R279" s="16">
        <v>9800</v>
      </c>
      <c r="S279" s="49">
        <v>6.3502873563218403</v>
      </c>
      <c r="T279" s="4">
        <f t="shared" si="25"/>
        <v>6.3502873563218403</v>
      </c>
      <c r="U279" s="28">
        <f t="shared" si="26"/>
        <v>0</v>
      </c>
      <c r="V279" s="4"/>
      <c r="AA279" s="94"/>
      <c r="AB279" s="94"/>
      <c r="AC279" s="94"/>
      <c r="AD279" s="94"/>
      <c r="AE279" s="94"/>
      <c r="AF279" s="94"/>
    </row>
    <row r="280" spans="1:32" ht="15.75">
      <c r="A280" s="68">
        <f t="shared" si="28"/>
        <v>49</v>
      </c>
      <c r="B280" s="69" t="s">
        <v>69</v>
      </c>
      <c r="C280" s="70">
        <v>73.31</v>
      </c>
      <c r="D280" s="70">
        <v>940</v>
      </c>
      <c r="E280" s="71">
        <v>870</v>
      </c>
      <c r="F280" s="54">
        <f t="shared" si="22"/>
        <v>7.7989361702127704</v>
      </c>
      <c r="G280" s="28"/>
      <c r="H280" s="69" t="s">
        <v>72</v>
      </c>
      <c r="I280" s="70">
        <v>307.14</v>
      </c>
      <c r="J280" s="70">
        <v>6680</v>
      </c>
      <c r="K280" s="71">
        <v>6400</v>
      </c>
      <c r="L280" s="49">
        <f t="shared" si="23"/>
        <v>4.5979041916167702</v>
      </c>
      <c r="M280" s="28">
        <f t="shared" si="24"/>
        <v>-4.75</v>
      </c>
      <c r="N280" s="72">
        <f t="shared" si="27"/>
        <v>49</v>
      </c>
      <c r="O280" s="14" t="s">
        <v>109</v>
      </c>
      <c r="P280" s="15">
        <v>2040</v>
      </c>
      <c r="Q280" s="15">
        <v>32540</v>
      </c>
      <c r="R280" s="16">
        <v>30500</v>
      </c>
      <c r="S280" s="49">
        <v>6.2692071296865404</v>
      </c>
      <c r="T280" s="4">
        <f t="shared" si="25"/>
        <v>6.2692071296865404</v>
      </c>
      <c r="U280" s="28">
        <f t="shared" si="26"/>
        <v>0</v>
      </c>
      <c r="V280" s="4"/>
      <c r="AA280" s="94"/>
      <c r="AB280" s="94"/>
      <c r="AC280" s="94"/>
      <c r="AD280" s="94"/>
      <c r="AE280" s="94"/>
      <c r="AF280" s="94"/>
    </row>
    <row r="281" spans="1:32" ht="15.75">
      <c r="A281" s="68">
        <f t="shared" si="28"/>
        <v>50</v>
      </c>
      <c r="B281" s="69" t="s">
        <v>68</v>
      </c>
      <c r="C281" s="70">
        <v>710.98</v>
      </c>
      <c r="D281" s="70">
        <v>9690</v>
      </c>
      <c r="E281" s="71">
        <v>8980</v>
      </c>
      <c r="F281" s="54">
        <f t="shared" si="22"/>
        <v>7.3372549019607796</v>
      </c>
      <c r="G281" s="28"/>
      <c r="H281" s="69" t="s">
        <v>48</v>
      </c>
      <c r="I281" s="70">
        <v>754.47</v>
      </c>
      <c r="J281" s="70">
        <v>17220</v>
      </c>
      <c r="K281" s="71">
        <v>16460</v>
      </c>
      <c r="L281" s="49">
        <f t="shared" si="23"/>
        <v>4.3813588850174199</v>
      </c>
      <c r="M281" s="28">
        <f t="shared" si="24"/>
        <v>-1.02</v>
      </c>
      <c r="N281" s="72">
        <f t="shared" si="27"/>
        <v>50</v>
      </c>
      <c r="O281" s="14" t="s">
        <v>53</v>
      </c>
      <c r="P281" s="15">
        <v>1880.1959999999999</v>
      </c>
      <c r="Q281" s="15">
        <v>30010</v>
      </c>
      <c r="R281" s="16">
        <v>28110</v>
      </c>
      <c r="S281" s="49">
        <v>6.2652315894701802</v>
      </c>
      <c r="T281" s="4">
        <f t="shared" si="25"/>
        <v>6.2652315894701802</v>
      </c>
      <c r="U281" s="28">
        <f t="shared" si="26"/>
        <v>0</v>
      </c>
      <c r="V281" s="4"/>
      <c r="AA281" s="94"/>
      <c r="AB281" s="94"/>
      <c r="AC281" s="94"/>
      <c r="AD281" s="94"/>
      <c r="AE281" s="94"/>
      <c r="AF281" s="94"/>
    </row>
    <row r="282" spans="1:32" ht="15.75">
      <c r="A282" s="68">
        <f t="shared" si="28"/>
        <v>51</v>
      </c>
      <c r="B282" s="69" t="s">
        <v>5</v>
      </c>
      <c r="C282" s="70">
        <v>179.98</v>
      </c>
      <c r="D282" s="70">
        <v>2530</v>
      </c>
      <c r="E282" s="71">
        <v>2370</v>
      </c>
      <c r="F282" s="54">
        <f t="shared" si="22"/>
        <v>7.1138339920948601</v>
      </c>
      <c r="G282" s="28"/>
      <c r="H282" s="69" t="s">
        <v>26</v>
      </c>
      <c r="I282" s="70">
        <v>1191.8699999999999</v>
      </c>
      <c r="J282" s="70">
        <v>27860</v>
      </c>
      <c r="K282" s="71">
        <v>26670</v>
      </c>
      <c r="L282" s="49">
        <f t="shared" si="23"/>
        <v>4.2780689160086096</v>
      </c>
      <c r="M282" s="28">
        <f t="shared" si="24"/>
        <v>25.76</v>
      </c>
      <c r="N282" s="72">
        <f t="shared" si="27"/>
        <v>51</v>
      </c>
      <c r="O282" s="14" t="s">
        <v>6</v>
      </c>
      <c r="P282" s="15">
        <v>364.73</v>
      </c>
      <c r="Q282" s="15">
        <v>6110</v>
      </c>
      <c r="R282" s="16">
        <v>5740</v>
      </c>
      <c r="S282" s="49">
        <v>5.9693944353518802</v>
      </c>
      <c r="T282" s="4">
        <f t="shared" si="25"/>
        <v>5.9693944353518802</v>
      </c>
      <c r="U282" s="28">
        <f t="shared" si="26"/>
        <v>0</v>
      </c>
      <c r="V282" s="4"/>
      <c r="AA282" s="94"/>
      <c r="AB282" s="94"/>
      <c r="AC282" s="94"/>
      <c r="AD282" s="94"/>
      <c r="AE282" s="94"/>
      <c r="AF282" s="94"/>
    </row>
    <row r="283" spans="1:32" ht="15.75">
      <c r="A283" s="68">
        <f t="shared" si="28"/>
        <v>52</v>
      </c>
      <c r="B283" s="69" t="s">
        <v>54</v>
      </c>
      <c r="C283" s="70">
        <v>198.55</v>
      </c>
      <c r="D283" s="70">
        <v>2860</v>
      </c>
      <c r="E283" s="71">
        <v>2650</v>
      </c>
      <c r="F283" s="54">
        <f t="shared" si="22"/>
        <v>6.9423076923076898</v>
      </c>
      <c r="G283" s="28"/>
      <c r="H283" s="69" t="s">
        <v>90</v>
      </c>
      <c r="I283" s="70">
        <v>181.8</v>
      </c>
      <c r="J283" s="70">
        <v>4460</v>
      </c>
      <c r="K283" s="71">
        <v>4220</v>
      </c>
      <c r="L283" s="49">
        <f t="shared" si="23"/>
        <v>4.0762331838565</v>
      </c>
      <c r="M283" s="28">
        <f t="shared" si="24"/>
        <v>-6.5499999999999501</v>
      </c>
      <c r="N283" s="72">
        <f t="shared" si="27"/>
        <v>52</v>
      </c>
      <c r="O283" s="14" t="s">
        <v>35</v>
      </c>
      <c r="P283" s="15">
        <v>677.39200000000005</v>
      </c>
      <c r="Q283" s="15">
        <v>11480</v>
      </c>
      <c r="R283" s="16">
        <v>10780</v>
      </c>
      <c r="S283" s="49">
        <v>5.9006271777003496</v>
      </c>
      <c r="T283" s="4">
        <f t="shared" si="25"/>
        <v>5.9006271777003496</v>
      </c>
      <c r="U283" s="28">
        <f t="shared" si="26"/>
        <v>0</v>
      </c>
      <c r="V283" s="4"/>
      <c r="AA283" s="94"/>
      <c r="AB283" s="94"/>
      <c r="AC283" s="94"/>
      <c r="AD283" s="94"/>
      <c r="AE283" s="94"/>
      <c r="AF283" s="94"/>
    </row>
    <row r="284" spans="1:32" ht="15.75">
      <c r="A284" s="68">
        <f t="shared" si="28"/>
        <v>53</v>
      </c>
      <c r="B284" s="69" t="s">
        <v>35</v>
      </c>
      <c r="C284" s="70">
        <v>578.41</v>
      </c>
      <c r="D284" s="70">
        <v>8380</v>
      </c>
      <c r="E284" s="71">
        <v>7790</v>
      </c>
      <c r="F284" s="54">
        <f t="shared" si="22"/>
        <v>6.9022673031026196</v>
      </c>
      <c r="G284" s="28"/>
      <c r="H284" s="69" t="s">
        <v>97</v>
      </c>
      <c r="I284" s="70">
        <v>1264.68</v>
      </c>
      <c r="J284" s="70">
        <v>31410</v>
      </c>
      <c r="K284" s="71">
        <v>30100</v>
      </c>
      <c r="L284" s="49">
        <f t="shared" si="23"/>
        <v>4.0263610315186202</v>
      </c>
      <c r="M284" s="28">
        <f t="shared" si="24"/>
        <v>9.6399999999999899</v>
      </c>
      <c r="N284" s="72">
        <f t="shared" si="27"/>
        <v>53</v>
      </c>
      <c r="O284" s="14" t="s">
        <v>23</v>
      </c>
      <c r="P284" s="15">
        <v>622.64</v>
      </c>
      <c r="Q284" s="15">
        <v>10940</v>
      </c>
      <c r="R284" s="16">
        <v>10330</v>
      </c>
      <c r="S284" s="49">
        <v>5.6914076782449703</v>
      </c>
      <c r="T284" s="4">
        <f t="shared" si="25"/>
        <v>5.6914076782449703</v>
      </c>
      <c r="U284" s="28">
        <f t="shared" si="26"/>
        <v>0</v>
      </c>
      <c r="V284" s="4"/>
      <c r="AA284" s="94"/>
      <c r="AB284" s="94"/>
      <c r="AC284" s="94"/>
      <c r="AD284" s="94"/>
      <c r="AE284" s="94"/>
      <c r="AF284" s="94"/>
    </row>
    <row r="285" spans="1:32" ht="15.75">
      <c r="A285" s="68">
        <f t="shared" si="28"/>
        <v>54</v>
      </c>
      <c r="B285" s="69" t="s">
        <v>6</v>
      </c>
      <c r="C285" s="70">
        <v>335.21</v>
      </c>
      <c r="D285" s="70">
        <v>4930</v>
      </c>
      <c r="E285" s="71">
        <v>4590</v>
      </c>
      <c r="F285" s="54">
        <f t="shared" si="22"/>
        <v>6.79939148073022</v>
      </c>
      <c r="G285" s="28"/>
      <c r="H285" s="69" t="s">
        <v>13</v>
      </c>
      <c r="I285" s="70">
        <v>754.42</v>
      </c>
      <c r="J285" s="70">
        <v>18770</v>
      </c>
      <c r="K285" s="71">
        <v>18080</v>
      </c>
      <c r="L285" s="49">
        <f t="shared" si="23"/>
        <v>4.0192860948321796</v>
      </c>
      <c r="M285" s="28">
        <f t="shared" si="24"/>
        <v>3.0299999999999701</v>
      </c>
      <c r="N285" s="72">
        <f t="shared" si="27"/>
        <v>54</v>
      </c>
      <c r="O285" s="14" t="s">
        <v>71</v>
      </c>
      <c r="P285" s="15">
        <v>536.51</v>
      </c>
      <c r="Q285" s="15">
        <v>9480</v>
      </c>
      <c r="R285" s="16">
        <v>13430</v>
      </c>
      <c r="S285" s="49">
        <v>5.6593881856540103</v>
      </c>
      <c r="T285" s="4">
        <f t="shared" si="25"/>
        <v>5.6593881856540103</v>
      </c>
      <c r="U285" s="28">
        <f t="shared" si="26"/>
        <v>0</v>
      </c>
      <c r="V285" s="4"/>
      <c r="AA285" s="94"/>
      <c r="AB285" s="94"/>
      <c r="AC285" s="94"/>
      <c r="AD285" s="94"/>
      <c r="AE285" s="94"/>
      <c r="AF285" s="94"/>
    </row>
    <row r="286" spans="1:32" ht="15.75">
      <c r="A286" s="68">
        <f t="shared" si="28"/>
        <v>55</v>
      </c>
      <c r="B286" s="69" t="s">
        <v>22</v>
      </c>
      <c r="C286" s="70">
        <v>382.39</v>
      </c>
      <c r="D286" s="70">
        <v>5700</v>
      </c>
      <c r="E286" s="71">
        <v>5320</v>
      </c>
      <c r="F286" s="54">
        <f t="shared" si="22"/>
        <v>6.7085964912280698</v>
      </c>
      <c r="G286" s="28"/>
      <c r="H286" s="69" t="s">
        <v>92</v>
      </c>
      <c r="I286" s="70">
        <v>139.43</v>
      </c>
      <c r="J286" s="70">
        <v>3470</v>
      </c>
      <c r="K286" s="71">
        <v>3340</v>
      </c>
      <c r="L286" s="49">
        <f t="shared" si="23"/>
        <v>4.0181556195965404</v>
      </c>
      <c r="M286" s="28">
        <f t="shared" si="24"/>
        <v>-27.14</v>
      </c>
      <c r="N286" s="72">
        <f t="shared" si="27"/>
        <v>55</v>
      </c>
      <c r="O286" s="14" t="s">
        <v>61</v>
      </c>
      <c r="P286" s="15">
        <v>696.08</v>
      </c>
      <c r="Q286" s="15">
        <v>12300</v>
      </c>
      <c r="R286" s="16">
        <v>11620</v>
      </c>
      <c r="S286" s="49">
        <v>5.6591869918699196</v>
      </c>
      <c r="T286" s="4">
        <f t="shared" si="25"/>
        <v>5.6591869918699196</v>
      </c>
      <c r="U286" s="28">
        <f t="shared" si="26"/>
        <v>0</v>
      </c>
      <c r="V286" s="4"/>
      <c r="AA286" s="94"/>
      <c r="AB286" s="94"/>
      <c r="AC286" s="94"/>
      <c r="AD286" s="94"/>
      <c r="AE286" s="94"/>
      <c r="AF286" s="94"/>
    </row>
    <row r="287" spans="1:32" ht="15.75">
      <c r="A287" s="68">
        <f t="shared" si="28"/>
        <v>56</v>
      </c>
      <c r="B287" s="69" t="s">
        <v>56</v>
      </c>
      <c r="C287" s="70">
        <v>1298.1410000000001</v>
      </c>
      <c r="D287" s="70">
        <v>20060</v>
      </c>
      <c r="E287" s="71">
        <v>18750</v>
      </c>
      <c r="F287" s="54">
        <f t="shared" si="22"/>
        <v>6.4712911266201401</v>
      </c>
      <c r="G287" s="28"/>
      <c r="H287" s="69" t="s">
        <v>37</v>
      </c>
      <c r="I287" s="70">
        <v>394.08</v>
      </c>
      <c r="J287" s="70">
        <v>10180</v>
      </c>
      <c r="K287" s="71">
        <v>9790</v>
      </c>
      <c r="L287" s="49">
        <f t="shared" si="23"/>
        <v>3.8711198428290801</v>
      </c>
      <c r="M287" s="28">
        <f t="shared" si="24"/>
        <v>5.5299999999999701</v>
      </c>
      <c r="N287" s="72">
        <f t="shared" si="27"/>
        <v>56</v>
      </c>
      <c r="O287" s="14" t="s">
        <v>43</v>
      </c>
      <c r="P287" s="15">
        <v>304.58</v>
      </c>
      <c r="Q287" s="15">
        <v>5390</v>
      </c>
      <c r="R287" s="16">
        <v>5150</v>
      </c>
      <c r="S287" s="49">
        <v>5.6508348794063101</v>
      </c>
      <c r="T287" s="4">
        <f t="shared" si="25"/>
        <v>5.6508348794063101</v>
      </c>
      <c r="U287" s="28">
        <f t="shared" si="26"/>
        <v>0</v>
      </c>
      <c r="V287" s="4"/>
      <c r="AA287" s="94"/>
      <c r="AB287" s="94"/>
      <c r="AC287" s="94"/>
      <c r="AD287" s="94"/>
      <c r="AE287" s="94"/>
      <c r="AF287" s="94"/>
    </row>
    <row r="288" spans="1:32" ht="15.75">
      <c r="A288" s="68">
        <f t="shared" si="28"/>
        <v>57</v>
      </c>
      <c r="B288" s="69" t="s">
        <v>94</v>
      </c>
      <c r="C288" s="70">
        <v>637.33000000000004</v>
      </c>
      <c r="D288" s="70">
        <v>9850</v>
      </c>
      <c r="E288" s="71">
        <v>9220</v>
      </c>
      <c r="F288" s="54">
        <f t="shared" si="22"/>
        <v>6.47035532994924</v>
      </c>
      <c r="G288" s="28"/>
      <c r="H288" s="69" t="s">
        <v>59</v>
      </c>
      <c r="I288" s="70">
        <v>140.96</v>
      </c>
      <c r="J288" s="70">
        <v>3680</v>
      </c>
      <c r="K288" s="71">
        <v>3530</v>
      </c>
      <c r="L288" s="49">
        <f t="shared" si="23"/>
        <v>3.8304347826087</v>
      </c>
      <c r="M288" s="28">
        <f t="shared" si="24"/>
        <v>-1.86999999999989</v>
      </c>
      <c r="N288" s="72">
        <f t="shared" si="27"/>
        <v>57</v>
      </c>
      <c r="O288" s="14" t="s">
        <v>57</v>
      </c>
      <c r="P288" s="15">
        <v>372.48</v>
      </c>
      <c r="Q288" s="15">
        <v>6890</v>
      </c>
      <c r="R288" s="16">
        <v>6530</v>
      </c>
      <c r="S288" s="49">
        <v>5.4060957910014498</v>
      </c>
      <c r="T288" s="4">
        <f t="shared" si="25"/>
        <v>5.4060957910014498</v>
      </c>
      <c r="U288" s="28">
        <f t="shared" si="26"/>
        <v>0</v>
      </c>
      <c r="V288" s="4"/>
      <c r="AA288" s="94"/>
      <c r="AB288" s="94"/>
      <c r="AC288" s="94"/>
      <c r="AD288" s="94"/>
      <c r="AE288" s="94"/>
      <c r="AF288" s="94"/>
    </row>
    <row r="289" spans="1:32" ht="15.75">
      <c r="A289" s="68">
        <f t="shared" si="28"/>
        <v>58</v>
      </c>
      <c r="B289" s="69" t="s">
        <v>40</v>
      </c>
      <c r="C289" s="70">
        <v>800.39</v>
      </c>
      <c r="D289" s="70">
        <v>12390</v>
      </c>
      <c r="E289" s="71">
        <v>11590</v>
      </c>
      <c r="F289" s="54">
        <f t="shared" si="22"/>
        <v>6.4599677158999196</v>
      </c>
      <c r="G289" s="28"/>
      <c r="H289" s="69" t="s">
        <v>88</v>
      </c>
      <c r="I289" s="70">
        <v>166.18</v>
      </c>
      <c r="J289" s="70">
        <v>4530</v>
      </c>
      <c r="K289" s="71">
        <v>7750</v>
      </c>
      <c r="L289" s="49">
        <f t="shared" si="23"/>
        <v>3.6684326710816801</v>
      </c>
      <c r="M289" s="28">
        <f t="shared" si="24"/>
        <v>58.2</v>
      </c>
      <c r="N289" s="72">
        <f t="shared" si="27"/>
        <v>58</v>
      </c>
      <c r="O289" s="14" t="s">
        <v>14</v>
      </c>
      <c r="P289" s="15">
        <v>652.08000000000004</v>
      </c>
      <c r="Q289" s="15">
        <v>12220</v>
      </c>
      <c r="R289" s="16">
        <v>11560</v>
      </c>
      <c r="S289" s="49">
        <v>5.3361702127659596</v>
      </c>
      <c r="T289" s="4">
        <f t="shared" si="25"/>
        <v>5.3361702127659596</v>
      </c>
      <c r="U289" s="28">
        <f t="shared" si="26"/>
        <v>0</v>
      </c>
      <c r="V289" s="4"/>
      <c r="AA289" s="94"/>
      <c r="AB289" s="94"/>
      <c r="AC289" s="94"/>
      <c r="AD289" s="94"/>
      <c r="AE289" s="94"/>
      <c r="AF289" s="94"/>
    </row>
    <row r="290" spans="1:32" ht="15.75">
      <c r="A290" s="68">
        <f t="shared" si="28"/>
        <v>59</v>
      </c>
      <c r="B290" s="69" t="s">
        <v>109</v>
      </c>
      <c r="C290" s="70">
        <v>700</v>
      </c>
      <c r="D290" s="70">
        <v>11360</v>
      </c>
      <c r="E290" s="71">
        <v>10660</v>
      </c>
      <c r="F290" s="54">
        <f t="shared" si="22"/>
        <v>6.1619718309859204</v>
      </c>
      <c r="G290" s="28"/>
      <c r="H290" s="69" t="s">
        <v>69</v>
      </c>
      <c r="I290" s="70">
        <v>120.04</v>
      </c>
      <c r="J290" s="70">
        <v>3410</v>
      </c>
      <c r="K290" s="71">
        <v>3270</v>
      </c>
      <c r="L290" s="49">
        <f t="shared" si="23"/>
        <v>3.5202346041055699</v>
      </c>
      <c r="M290" s="28">
        <f t="shared" si="24"/>
        <v>45.319999999999901</v>
      </c>
      <c r="N290" s="72">
        <f t="shared" si="27"/>
        <v>59</v>
      </c>
      <c r="O290" s="23" t="s">
        <v>108</v>
      </c>
      <c r="P290" s="15">
        <v>351.1</v>
      </c>
      <c r="Q290" s="15">
        <v>6790</v>
      </c>
      <c r="R290" s="16">
        <v>6030</v>
      </c>
      <c r="S290" s="49">
        <v>5.1708394698085396</v>
      </c>
      <c r="T290" s="4">
        <f t="shared" si="25"/>
        <v>5.1708394698085396</v>
      </c>
      <c r="U290" s="28">
        <f t="shared" si="26"/>
        <v>0</v>
      </c>
      <c r="V290" s="4"/>
      <c r="AA290" s="94"/>
      <c r="AB290" s="94"/>
      <c r="AC290" s="94"/>
      <c r="AD290" s="94"/>
      <c r="AE290" s="94"/>
      <c r="AF290" s="94"/>
    </row>
    <row r="291" spans="1:32" ht="15.75">
      <c r="A291" s="68">
        <f t="shared" si="28"/>
        <v>60</v>
      </c>
      <c r="B291" s="69" t="s">
        <v>10</v>
      </c>
      <c r="C291" s="70">
        <v>670.48</v>
      </c>
      <c r="D291" s="70">
        <v>11070</v>
      </c>
      <c r="E291" s="71">
        <v>10410</v>
      </c>
      <c r="F291" s="54">
        <f t="shared" si="22"/>
        <v>6.0567299006323401</v>
      </c>
      <c r="G291" s="28"/>
      <c r="H291" s="69" t="s">
        <v>78</v>
      </c>
      <c r="I291" s="70">
        <v>156.72999999999999</v>
      </c>
      <c r="J291" s="70">
        <v>4630</v>
      </c>
      <c r="K291" s="71">
        <v>4450</v>
      </c>
      <c r="L291" s="49">
        <f t="shared" si="23"/>
        <v>3.3850971922246198</v>
      </c>
      <c r="M291" s="28">
        <f t="shared" si="24"/>
        <v>-64.42</v>
      </c>
      <c r="N291" s="72">
        <f t="shared" si="27"/>
        <v>60</v>
      </c>
      <c r="O291" s="14" t="s">
        <v>67</v>
      </c>
      <c r="P291" s="15">
        <v>837.59</v>
      </c>
      <c r="Q291" s="15">
        <v>16320</v>
      </c>
      <c r="R291" s="16">
        <v>15480</v>
      </c>
      <c r="S291" s="49">
        <v>5.1322916666666698</v>
      </c>
      <c r="T291" s="4">
        <f t="shared" si="25"/>
        <v>5.1322916666666698</v>
      </c>
      <c r="U291" s="28">
        <f t="shared" si="26"/>
        <v>0</v>
      </c>
      <c r="V291" s="4"/>
      <c r="AA291" s="94"/>
      <c r="AB291" s="94"/>
      <c r="AC291" s="94"/>
      <c r="AD291" s="94"/>
      <c r="AE291" s="94"/>
      <c r="AF291" s="94"/>
    </row>
    <row r="292" spans="1:32" ht="15.75">
      <c r="A292" s="68">
        <f t="shared" si="28"/>
        <v>61</v>
      </c>
      <c r="B292" s="69" t="s">
        <v>13</v>
      </c>
      <c r="C292" s="70">
        <v>552.65</v>
      </c>
      <c r="D292" s="70">
        <v>9270</v>
      </c>
      <c r="E292" s="71">
        <v>8720</v>
      </c>
      <c r="F292" s="54">
        <f t="shared" si="22"/>
        <v>5.9617044228694702</v>
      </c>
      <c r="G292" s="28"/>
      <c r="H292" s="69" t="s">
        <v>25</v>
      </c>
      <c r="I292" s="70">
        <v>293.73</v>
      </c>
      <c r="J292" s="70">
        <v>8740</v>
      </c>
      <c r="K292" s="71">
        <v>8430</v>
      </c>
      <c r="L292" s="49">
        <f t="shared" si="23"/>
        <v>3.3607551487414198</v>
      </c>
      <c r="M292" s="28">
        <f t="shared" si="24"/>
        <v>-9.4300000000000104</v>
      </c>
      <c r="N292" s="72">
        <f t="shared" si="27"/>
        <v>61</v>
      </c>
      <c r="O292" s="14" t="s">
        <v>38</v>
      </c>
      <c r="P292" s="15">
        <v>751.89</v>
      </c>
      <c r="Q292" s="15">
        <v>14700</v>
      </c>
      <c r="R292" s="16">
        <v>13950</v>
      </c>
      <c r="S292" s="49">
        <v>5.1148979591836703</v>
      </c>
      <c r="T292" s="4">
        <f t="shared" si="25"/>
        <v>5.1148979591836703</v>
      </c>
      <c r="U292" s="28">
        <f t="shared" si="26"/>
        <v>0</v>
      </c>
      <c r="V292" s="4"/>
      <c r="AA292" s="94"/>
      <c r="AB292" s="94"/>
      <c r="AC292" s="94"/>
      <c r="AD292" s="94"/>
      <c r="AE292" s="94"/>
      <c r="AF292" s="94"/>
    </row>
    <row r="293" spans="1:32" ht="15.75">
      <c r="A293" s="68">
        <f t="shared" si="28"/>
        <v>62</v>
      </c>
      <c r="B293" s="69" t="s">
        <v>89</v>
      </c>
      <c r="C293" s="70">
        <v>215.48</v>
      </c>
      <c r="D293" s="70">
        <v>3720</v>
      </c>
      <c r="E293" s="71">
        <v>3500</v>
      </c>
      <c r="F293" s="54">
        <f t="shared" si="22"/>
        <v>5.7924731182795703</v>
      </c>
      <c r="G293" s="28"/>
      <c r="H293" s="69" t="s">
        <v>81</v>
      </c>
      <c r="I293" s="70">
        <v>173.56</v>
      </c>
      <c r="J293" s="70">
        <v>5170</v>
      </c>
      <c r="K293" s="71">
        <v>5000</v>
      </c>
      <c r="L293" s="49">
        <f t="shared" si="23"/>
        <v>3.3570599613152798</v>
      </c>
      <c r="M293" s="28">
        <f t="shared" si="24"/>
        <v>-4.0799999999999796</v>
      </c>
      <c r="N293" s="72">
        <f t="shared" si="27"/>
        <v>62</v>
      </c>
      <c r="O293" s="14" t="s">
        <v>65</v>
      </c>
      <c r="P293" s="15">
        <v>427.59</v>
      </c>
      <c r="Q293" s="15">
        <v>8670</v>
      </c>
      <c r="R293" s="16">
        <v>8240</v>
      </c>
      <c r="S293" s="49">
        <v>4.9318339100345998</v>
      </c>
      <c r="T293" s="4">
        <f t="shared" si="25"/>
        <v>4.9318339100345998</v>
      </c>
      <c r="U293" s="28">
        <f t="shared" si="26"/>
        <v>0</v>
      </c>
      <c r="V293" s="4"/>
      <c r="AA293" s="94"/>
      <c r="AB293" s="94"/>
      <c r="AC293" s="94"/>
      <c r="AD293" s="94"/>
      <c r="AE293" s="94"/>
      <c r="AF293" s="94"/>
    </row>
    <row r="294" spans="1:32" ht="15.75">
      <c r="A294" s="68">
        <f t="shared" si="28"/>
        <v>63</v>
      </c>
      <c r="B294" s="69" t="s">
        <v>45</v>
      </c>
      <c r="C294" s="70">
        <v>289.95999999999998</v>
      </c>
      <c r="D294" s="70">
        <v>5030</v>
      </c>
      <c r="E294" s="71">
        <v>4760</v>
      </c>
      <c r="F294" s="54">
        <f t="shared" si="22"/>
        <v>5.7646123260437401</v>
      </c>
      <c r="G294" s="28"/>
      <c r="H294" s="69" t="s">
        <v>45</v>
      </c>
      <c r="I294" s="70">
        <v>392.48</v>
      </c>
      <c r="J294" s="70">
        <v>11800</v>
      </c>
      <c r="K294" s="71">
        <v>11400</v>
      </c>
      <c r="L294" s="49">
        <f t="shared" si="23"/>
        <v>3.3261016949152502</v>
      </c>
      <c r="M294" s="28">
        <f t="shared" si="24"/>
        <v>9.0399999999999903</v>
      </c>
      <c r="N294" s="72">
        <f t="shared" si="27"/>
        <v>63</v>
      </c>
      <c r="O294" s="14" t="s">
        <v>5</v>
      </c>
      <c r="P294" s="15">
        <v>217.62</v>
      </c>
      <c r="Q294" s="15">
        <v>4630</v>
      </c>
      <c r="R294" s="16">
        <v>4410</v>
      </c>
      <c r="S294" s="49">
        <v>4.7002159827213799</v>
      </c>
      <c r="T294" s="4">
        <f t="shared" si="25"/>
        <v>4.7002159827213799</v>
      </c>
      <c r="U294" s="28">
        <f t="shared" si="26"/>
        <v>0</v>
      </c>
      <c r="V294" s="4"/>
      <c r="AA294" s="94"/>
      <c r="AB294" s="94"/>
      <c r="AC294" s="94"/>
      <c r="AD294" s="94"/>
      <c r="AE294" s="94"/>
      <c r="AF294" s="94"/>
    </row>
    <row r="295" spans="1:32" ht="15.75">
      <c r="A295" s="68">
        <f t="shared" si="28"/>
        <v>64</v>
      </c>
      <c r="B295" s="69" t="s">
        <v>53</v>
      </c>
      <c r="C295" s="70">
        <v>652.73</v>
      </c>
      <c r="D295" s="70">
        <v>11650</v>
      </c>
      <c r="E295" s="71">
        <v>10980</v>
      </c>
      <c r="F295" s="54">
        <f t="shared" si="22"/>
        <v>5.6028326180257499</v>
      </c>
      <c r="G295" s="28"/>
      <c r="H295" s="69" t="s">
        <v>39</v>
      </c>
      <c r="I295" s="70">
        <v>499.71</v>
      </c>
      <c r="J295" s="70">
        <v>15220</v>
      </c>
      <c r="K295" s="71">
        <v>14730</v>
      </c>
      <c r="L295" s="49">
        <f t="shared" si="23"/>
        <v>3.28324572930355</v>
      </c>
      <c r="M295" s="28">
        <f t="shared" si="24"/>
        <v>-3386.18</v>
      </c>
      <c r="N295" s="72">
        <f t="shared" si="27"/>
        <v>64</v>
      </c>
      <c r="O295" s="14" t="s">
        <v>13</v>
      </c>
      <c r="P295" s="15">
        <v>1307.07</v>
      </c>
      <c r="Q295" s="15">
        <v>28040</v>
      </c>
      <c r="R295" s="16">
        <v>26800</v>
      </c>
      <c r="S295" s="49">
        <v>4.6614479315263901</v>
      </c>
      <c r="T295" s="4">
        <f t="shared" si="25"/>
        <v>4.6614479315263901</v>
      </c>
      <c r="U295" s="28">
        <f t="shared" si="26"/>
        <v>0</v>
      </c>
      <c r="V295" s="4"/>
      <c r="AA295" s="94"/>
      <c r="AB295" s="94"/>
      <c r="AC295" s="94"/>
      <c r="AD295" s="94"/>
      <c r="AE295" s="94"/>
      <c r="AF295" s="94"/>
    </row>
    <row r="296" spans="1:32" ht="15.75">
      <c r="A296" s="68">
        <f t="shared" si="28"/>
        <v>65</v>
      </c>
      <c r="B296" s="69" t="s">
        <v>4</v>
      </c>
      <c r="C296" s="70">
        <v>151.49</v>
      </c>
      <c r="D296" s="70">
        <v>2710</v>
      </c>
      <c r="E296" s="71">
        <v>2560</v>
      </c>
      <c r="F296" s="54">
        <f t="shared" ref="F296:F331" si="29">(C296/D296)*100</f>
        <v>5.5900369003690003</v>
      </c>
      <c r="G296" s="28"/>
      <c r="H296" s="69" t="s">
        <v>51</v>
      </c>
      <c r="I296" s="70">
        <v>426.67</v>
      </c>
      <c r="J296" s="70">
        <v>13280</v>
      </c>
      <c r="K296" s="71">
        <v>12830</v>
      </c>
      <c r="L296" s="49">
        <f t="shared" ref="L296:L331" si="30">(I296/J296)*100</f>
        <v>3.2128765060241</v>
      </c>
      <c r="M296" s="28">
        <f t="shared" si="24"/>
        <v>19.96</v>
      </c>
      <c r="N296" s="72">
        <f t="shared" si="27"/>
        <v>65</v>
      </c>
      <c r="O296" s="14" t="s">
        <v>90</v>
      </c>
      <c r="P296" s="15">
        <v>959.83</v>
      </c>
      <c r="Q296" s="15">
        <v>20940</v>
      </c>
      <c r="R296" s="16">
        <v>19860</v>
      </c>
      <c r="S296" s="49">
        <v>4.5837153772683896</v>
      </c>
      <c r="T296" s="4">
        <f t="shared" si="25"/>
        <v>4.5837153772683896</v>
      </c>
      <c r="U296" s="28">
        <f t="shared" ref="U296" si="31">T296-S296</f>
        <v>0</v>
      </c>
      <c r="V296" s="4"/>
      <c r="AA296" s="94"/>
      <c r="AB296" s="94"/>
      <c r="AC296" s="94"/>
      <c r="AD296" s="94"/>
      <c r="AE296" s="94"/>
      <c r="AF296" s="94"/>
    </row>
    <row r="297" spans="1:32" ht="15.75">
      <c r="A297" s="68">
        <f t="shared" si="28"/>
        <v>66</v>
      </c>
      <c r="B297" s="69" t="s">
        <v>43</v>
      </c>
      <c r="C297" s="70">
        <v>199.32</v>
      </c>
      <c r="D297" s="70">
        <v>3630</v>
      </c>
      <c r="E297" s="71">
        <v>3460</v>
      </c>
      <c r="F297" s="54">
        <f t="shared" si="29"/>
        <v>5.4909090909090903</v>
      </c>
      <c r="G297" s="28"/>
      <c r="H297" s="69" t="s">
        <v>35</v>
      </c>
      <c r="I297" s="70">
        <v>98.981999999999999</v>
      </c>
      <c r="J297" s="70">
        <v>3100</v>
      </c>
      <c r="K297" s="71">
        <v>2990</v>
      </c>
      <c r="L297" s="49">
        <f t="shared" si="30"/>
        <v>3.1929677419354801</v>
      </c>
      <c r="M297" s="28">
        <f t="shared" si="24"/>
        <v>23.27</v>
      </c>
      <c r="N297" s="72">
        <f t="shared" ref="N297:N330" si="32">1+N296</f>
        <v>66</v>
      </c>
      <c r="O297" s="14" t="s">
        <v>69</v>
      </c>
      <c r="P297" s="15">
        <v>193.35</v>
      </c>
      <c r="Q297" s="15">
        <v>4350</v>
      </c>
      <c r="R297" s="16">
        <v>4140</v>
      </c>
      <c r="S297" s="49">
        <v>4.4448275862069</v>
      </c>
      <c r="T297" s="4">
        <f t="shared" ref="T297:T326" si="33">(P297/Q297)*100</f>
        <v>4.4448275862069</v>
      </c>
      <c r="U297" s="28">
        <f t="shared" ref="U297:U326" si="34">T297-S297</f>
        <v>0</v>
      </c>
      <c r="V297" s="4"/>
      <c r="AA297" s="94"/>
      <c r="AB297" s="94"/>
      <c r="AC297" s="94"/>
      <c r="AD297" s="94"/>
      <c r="AE297" s="94"/>
      <c r="AF297" s="94"/>
    </row>
    <row r="298" spans="1:32" ht="15.75">
      <c r="A298" s="68">
        <f t="shared" si="28"/>
        <v>67</v>
      </c>
      <c r="B298" s="69" t="s">
        <v>71</v>
      </c>
      <c r="C298" s="70">
        <v>408.1</v>
      </c>
      <c r="D298" s="70">
        <v>7590</v>
      </c>
      <c r="E298" s="71">
        <v>7180</v>
      </c>
      <c r="F298" s="54">
        <f t="shared" si="29"/>
        <v>5.3768115942029002</v>
      </c>
      <c r="G298" s="28"/>
      <c r="H298" s="69" t="s">
        <v>61</v>
      </c>
      <c r="I298" s="70">
        <v>309.22000000000003</v>
      </c>
      <c r="J298" s="70">
        <v>9710</v>
      </c>
      <c r="K298" s="71">
        <v>9410</v>
      </c>
      <c r="L298" s="49">
        <f t="shared" si="30"/>
        <v>3.18455200823893</v>
      </c>
      <c r="M298" s="28">
        <f t="shared" si="24"/>
        <v>16.27</v>
      </c>
      <c r="N298" s="72">
        <f t="shared" si="32"/>
        <v>67</v>
      </c>
      <c r="O298" s="14" t="s">
        <v>40</v>
      </c>
      <c r="P298" s="15">
        <v>1130.32</v>
      </c>
      <c r="Q298" s="15">
        <v>25460</v>
      </c>
      <c r="R298" s="16">
        <v>24330</v>
      </c>
      <c r="S298" s="49">
        <v>4.4395915161036896</v>
      </c>
      <c r="T298" s="4">
        <f t="shared" si="33"/>
        <v>4.4395915161036896</v>
      </c>
      <c r="U298" s="28">
        <f t="shared" si="34"/>
        <v>0</v>
      </c>
      <c r="V298" s="4"/>
      <c r="AA298" s="94"/>
      <c r="AB298" s="94"/>
      <c r="AC298" s="94"/>
      <c r="AD298" s="94"/>
      <c r="AE298" s="94"/>
      <c r="AF298" s="94"/>
    </row>
    <row r="299" spans="1:32" ht="15.75">
      <c r="A299" s="68">
        <f t="shared" ref="A299:A330" si="35">1+A298</f>
        <v>68</v>
      </c>
      <c r="B299" s="69" t="s">
        <v>38</v>
      </c>
      <c r="C299" s="70">
        <v>481.53</v>
      </c>
      <c r="D299" s="70">
        <v>9180</v>
      </c>
      <c r="E299" s="71">
        <v>8710</v>
      </c>
      <c r="F299" s="54">
        <f t="shared" si="29"/>
        <v>5.2454248366013099</v>
      </c>
      <c r="G299" s="28"/>
      <c r="H299" s="69" t="s">
        <v>58</v>
      </c>
      <c r="I299" s="70">
        <v>254.38</v>
      </c>
      <c r="J299" s="70">
        <v>8370</v>
      </c>
      <c r="K299" s="71">
        <v>8110</v>
      </c>
      <c r="L299" s="49">
        <f t="shared" si="30"/>
        <v>3.0391875746714501</v>
      </c>
      <c r="M299" s="28">
        <f t="shared" si="24"/>
        <v>-3.56</v>
      </c>
      <c r="N299" s="72">
        <f t="shared" si="32"/>
        <v>68</v>
      </c>
      <c r="O299" s="14" t="s">
        <v>39</v>
      </c>
      <c r="P299" s="15">
        <v>826.5</v>
      </c>
      <c r="Q299" s="15">
        <v>19030</v>
      </c>
      <c r="R299" s="16">
        <v>18200</v>
      </c>
      <c r="S299" s="49">
        <v>4.3431424067262201</v>
      </c>
      <c r="T299" s="4">
        <f t="shared" si="33"/>
        <v>4.3431424067262201</v>
      </c>
      <c r="U299" s="28">
        <f t="shared" si="34"/>
        <v>0</v>
      </c>
      <c r="V299" s="4"/>
      <c r="AA299" s="94"/>
      <c r="AB299" s="94"/>
      <c r="AC299" s="94"/>
      <c r="AD299" s="94"/>
      <c r="AE299" s="94"/>
      <c r="AF299" s="94"/>
    </row>
    <row r="300" spans="1:32" ht="15.75">
      <c r="A300" s="68">
        <f t="shared" si="35"/>
        <v>69</v>
      </c>
      <c r="B300" s="69" t="s">
        <v>67</v>
      </c>
      <c r="C300" s="70">
        <v>101.04</v>
      </c>
      <c r="D300" s="70">
        <v>2060</v>
      </c>
      <c r="E300" s="71">
        <v>1950</v>
      </c>
      <c r="F300" s="54">
        <f t="shared" si="29"/>
        <v>4.9048543689320399</v>
      </c>
      <c r="G300" s="28"/>
      <c r="H300" s="69" t="s">
        <v>4</v>
      </c>
      <c r="I300" s="70">
        <v>87.13</v>
      </c>
      <c r="J300" s="70">
        <v>2970</v>
      </c>
      <c r="K300" s="71">
        <v>2880</v>
      </c>
      <c r="L300" s="49">
        <f t="shared" si="30"/>
        <v>2.9336700336700301</v>
      </c>
      <c r="M300" s="28">
        <f t="shared" si="24"/>
        <v>7.51999999999998</v>
      </c>
      <c r="N300" s="72">
        <f t="shared" si="32"/>
        <v>69</v>
      </c>
      <c r="O300" s="14" t="s">
        <v>48</v>
      </c>
      <c r="P300" s="15">
        <v>790.87</v>
      </c>
      <c r="Q300" s="15">
        <v>18800</v>
      </c>
      <c r="R300" s="16">
        <v>17990</v>
      </c>
      <c r="S300" s="49">
        <v>4.2067553191489404</v>
      </c>
      <c r="T300" s="4">
        <f t="shared" si="33"/>
        <v>4.2067553191489404</v>
      </c>
      <c r="U300" s="28">
        <f t="shared" si="34"/>
        <v>0</v>
      </c>
      <c r="V300" s="4"/>
      <c r="AA300" s="94"/>
      <c r="AB300" s="94"/>
      <c r="AC300" s="94"/>
      <c r="AD300" s="94"/>
      <c r="AE300" s="94"/>
      <c r="AF300" s="94"/>
    </row>
    <row r="301" spans="1:32" ht="15.75">
      <c r="A301" s="68">
        <f t="shared" si="35"/>
        <v>70</v>
      </c>
      <c r="B301" s="69" t="s">
        <v>90</v>
      </c>
      <c r="C301" s="70">
        <v>778.03</v>
      </c>
      <c r="D301" s="70">
        <v>16480</v>
      </c>
      <c r="E301" s="71">
        <v>15640</v>
      </c>
      <c r="F301" s="54">
        <f t="shared" si="29"/>
        <v>4.7210558252427202</v>
      </c>
      <c r="G301" s="28"/>
      <c r="H301" s="69" t="s">
        <v>57</v>
      </c>
      <c r="I301" s="70">
        <v>116.36</v>
      </c>
      <c r="J301" s="70">
        <v>4160</v>
      </c>
      <c r="K301" s="71">
        <v>4040</v>
      </c>
      <c r="L301" s="49">
        <f t="shared" si="30"/>
        <v>2.7971153846153798</v>
      </c>
      <c r="M301" s="28">
        <f t="shared" si="24"/>
        <v>-9.7099999999999795</v>
      </c>
      <c r="N301" s="72">
        <f t="shared" si="32"/>
        <v>70</v>
      </c>
      <c r="O301" s="14" t="s">
        <v>4</v>
      </c>
      <c r="P301" s="15">
        <v>238.62</v>
      </c>
      <c r="Q301" s="15">
        <v>5680</v>
      </c>
      <c r="R301" s="16">
        <v>5440</v>
      </c>
      <c r="S301" s="49">
        <v>4.2010563380281702</v>
      </c>
      <c r="T301" s="4">
        <f t="shared" si="33"/>
        <v>4.2010563380281702</v>
      </c>
      <c r="U301" s="28">
        <f t="shared" si="34"/>
        <v>0</v>
      </c>
      <c r="V301" s="4"/>
      <c r="AA301" s="94"/>
      <c r="AB301" s="94"/>
      <c r="AC301" s="94"/>
      <c r="AD301" s="94"/>
      <c r="AE301" s="94"/>
      <c r="AF301" s="94"/>
    </row>
    <row r="302" spans="1:32" ht="15.75">
      <c r="A302" s="68">
        <f t="shared" si="35"/>
        <v>71</v>
      </c>
      <c r="B302" s="69" t="s">
        <v>78</v>
      </c>
      <c r="C302" s="70">
        <v>184.1</v>
      </c>
      <c r="D302" s="70">
        <v>3970</v>
      </c>
      <c r="E302" s="71">
        <v>3780</v>
      </c>
      <c r="F302" s="54">
        <f t="shared" si="29"/>
        <v>4.6372795969773302</v>
      </c>
      <c r="G302" s="28"/>
      <c r="H302" s="69" t="s">
        <v>65</v>
      </c>
      <c r="I302" s="70">
        <v>203.37</v>
      </c>
      <c r="J302" s="70">
        <v>7900</v>
      </c>
      <c r="K302" s="71">
        <v>7700</v>
      </c>
      <c r="L302" s="49">
        <f t="shared" si="30"/>
        <v>2.57430379746835</v>
      </c>
      <c r="M302" s="28">
        <f t="shared" si="24"/>
        <v>23.33</v>
      </c>
      <c r="N302" s="72">
        <f t="shared" si="32"/>
        <v>71</v>
      </c>
      <c r="O302" s="14" t="s">
        <v>77</v>
      </c>
      <c r="P302" s="15">
        <v>426.94</v>
      </c>
      <c r="Q302" s="15">
        <v>10210</v>
      </c>
      <c r="R302" s="16">
        <v>9800</v>
      </c>
      <c r="S302" s="49">
        <v>4.1815866797257604</v>
      </c>
      <c r="T302" s="4">
        <f t="shared" si="33"/>
        <v>4.1815866797257604</v>
      </c>
      <c r="U302" s="28">
        <f t="shared" si="34"/>
        <v>0</v>
      </c>
      <c r="V302" s="4"/>
      <c r="AA302" s="94"/>
      <c r="AB302" s="94"/>
      <c r="AC302" s="98"/>
      <c r="AD302" s="94"/>
      <c r="AE302" s="94"/>
      <c r="AF302" s="94"/>
    </row>
    <row r="303" spans="1:32" ht="15.75">
      <c r="A303" s="68">
        <f t="shared" si="35"/>
        <v>72</v>
      </c>
      <c r="B303" s="69" t="s">
        <v>46</v>
      </c>
      <c r="C303" s="70">
        <v>231.08</v>
      </c>
      <c r="D303" s="70">
        <v>5020</v>
      </c>
      <c r="E303" s="71">
        <v>4800</v>
      </c>
      <c r="F303" s="54">
        <f t="shared" si="29"/>
        <v>4.6031872509960197</v>
      </c>
      <c r="G303" s="28"/>
      <c r="H303" s="69" t="s">
        <v>40</v>
      </c>
      <c r="I303" s="70">
        <v>329.93</v>
      </c>
      <c r="J303" s="70">
        <v>13070</v>
      </c>
      <c r="K303" s="71">
        <v>12740</v>
      </c>
      <c r="L303" s="49">
        <f t="shared" si="30"/>
        <v>2.52433052792655</v>
      </c>
      <c r="M303" s="28">
        <f t="shared" si="24"/>
        <v>11.018000000000001</v>
      </c>
      <c r="N303" s="72">
        <f t="shared" si="32"/>
        <v>72</v>
      </c>
      <c r="O303" s="14" t="s">
        <v>3</v>
      </c>
      <c r="P303" s="15">
        <v>567.27</v>
      </c>
      <c r="Q303" s="15">
        <v>13640</v>
      </c>
      <c r="R303" s="16">
        <v>13090</v>
      </c>
      <c r="S303" s="49">
        <v>4.1588709677419304</v>
      </c>
      <c r="T303" s="4">
        <f t="shared" si="33"/>
        <v>4.1588709677419304</v>
      </c>
      <c r="U303" s="28">
        <f t="shared" si="34"/>
        <v>0</v>
      </c>
      <c r="V303" s="4"/>
      <c r="AA303" s="94"/>
      <c r="AB303" s="94"/>
      <c r="AC303" s="98"/>
      <c r="AD303" s="94"/>
      <c r="AE303" s="94"/>
      <c r="AF303" s="94"/>
    </row>
    <row r="304" spans="1:32" ht="15.75">
      <c r="A304" s="68">
        <f t="shared" si="35"/>
        <v>73</v>
      </c>
      <c r="B304" s="69" t="s">
        <v>14</v>
      </c>
      <c r="C304" s="70">
        <v>457.24</v>
      </c>
      <c r="D304" s="70">
        <v>9970</v>
      </c>
      <c r="E304" s="71">
        <v>9510</v>
      </c>
      <c r="F304" s="54">
        <f t="shared" si="29"/>
        <v>4.5861584754262799</v>
      </c>
      <c r="G304" s="28"/>
      <c r="H304" s="69" t="s">
        <v>63</v>
      </c>
      <c r="I304" s="70">
        <v>243.93</v>
      </c>
      <c r="J304" s="70">
        <v>9670</v>
      </c>
      <c r="K304" s="71">
        <v>9430</v>
      </c>
      <c r="L304" s="49">
        <f t="shared" si="30"/>
        <v>2.52254395036194</v>
      </c>
      <c r="M304" s="28" t="e">
        <f>(#REF!-#REF!)-#REF!</f>
        <v>#REF!</v>
      </c>
      <c r="N304" s="72">
        <f t="shared" si="32"/>
        <v>73</v>
      </c>
      <c r="O304" s="14" t="s">
        <v>18</v>
      </c>
      <c r="P304" s="15">
        <v>163.74</v>
      </c>
      <c r="Q304" s="15">
        <v>3970</v>
      </c>
      <c r="R304" s="16">
        <v>3790</v>
      </c>
      <c r="S304" s="49">
        <v>4.1244332493702798</v>
      </c>
      <c r="T304" s="4">
        <f t="shared" si="33"/>
        <v>4.1244332493702798</v>
      </c>
      <c r="U304" s="28">
        <f t="shared" si="34"/>
        <v>0</v>
      </c>
      <c r="V304" s="4"/>
      <c r="AA304" s="94"/>
      <c r="AB304" s="94"/>
      <c r="AC304" s="98"/>
      <c r="AD304" s="94"/>
      <c r="AE304" s="94"/>
      <c r="AF304" s="94"/>
    </row>
    <row r="305" spans="1:32" ht="15.75">
      <c r="A305" s="68">
        <f t="shared" si="35"/>
        <v>74</v>
      </c>
      <c r="B305" s="69" t="s">
        <v>100</v>
      </c>
      <c r="C305" s="70">
        <v>506.88</v>
      </c>
      <c r="D305" s="70">
        <v>11380</v>
      </c>
      <c r="E305" s="71">
        <v>10880</v>
      </c>
      <c r="F305" s="54">
        <f t="shared" si="29"/>
        <v>4.4541300527240804</v>
      </c>
      <c r="G305" s="28"/>
      <c r="H305" s="69" t="s">
        <v>6</v>
      </c>
      <c r="I305" s="70">
        <v>29.52</v>
      </c>
      <c r="J305" s="70">
        <v>1180</v>
      </c>
      <c r="K305" s="71">
        <v>1150</v>
      </c>
      <c r="L305" s="49">
        <f t="shared" si="30"/>
        <v>2.50169491525424</v>
      </c>
      <c r="M305" s="28">
        <f t="shared" ref="M305:M330" si="36">(J298-K298)-I298</f>
        <v>-9.2200000000000308</v>
      </c>
      <c r="N305" s="72">
        <f t="shared" si="32"/>
        <v>74</v>
      </c>
      <c r="O305" s="14" t="s">
        <v>45</v>
      </c>
      <c r="P305" s="15">
        <v>682.44</v>
      </c>
      <c r="Q305" s="15">
        <v>16830</v>
      </c>
      <c r="R305" s="16">
        <v>16160</v>
      </c>
      <c r="S305" s="49">
        <v>4.05490196078431</v>
      </c>
      <c r="T305" s="4">
        <f t="shared" si="33"/>
        <v>4.05490196078431</v>
      </c>
      <c r="U305" s="28">
        <f t="shared" si="34"/>
        <v>0</v>
      </c>
      <c r="V305" s="4"/>
      <c r="AA305" s="94"/>
      <c r="AB305" s="94"/>
      <c r="AC305" s="98"/>
      <c r="AD305" s="94"/>
      <c r="AE305" s="94"/>
      <c r="AF305" s="94"/>
    </row>
    <row r="306" spans="1:32" ht="15.75">
      <c r="A306" s="68">
        <f t="shared" si="35"/>
        <v>75</v>
      </c>
      <c r="B306" s="73" t="s">
        <v>108</v>
      </c>
      <c r="C306" s="70">
        <v>267.85000000000002</v>
      </c>
      <c r="D306" s="70">
        <v>6170</v>
      </c>
      <c r="E306" s="71">
        <v>5570</v>
      </c>
      <c r="F306" s="54">
        <f t="shared" si="29"/>
        <v>4.3411669367909198</v>
      </c>
      <c r="G306" s="28"/>
      <c r="H306" s="69" t="s">
        <v>98</v>
      </c>
      <c r="I306" s="70">
        <v>483.48</v>
      </c>
      <c r="J306" s="70">
        <v>19360</v>
      </c>
      <c r="K306" s="71">
        <v>18930</v>
      </c>
      <c r="L306" s="49">
        <f t="shared" si="30"/>
        <v>2.4973140495867798</v>
      </c>
      <c r="M306" s="28">
        <f t="shared" si="36"/>
        <v>5.62</v>
      </c>
      <c r="N306" s="72">
        <f t="shared" si="32"/>
        <v>75</v>
      </c>
      <c r="O306" s="14" t="s">
        <v>62</v>
      </c>
      <c r="P306" s="15">
        <v>416.97</v>
      </c>
      <c r="Q306" s="15">
        <v>10350</v>
      </c>
      <c r="R306" s="16">
        <v>9930</v>
      </c>
      <c r="S306" s="49">
        <v>4.0286956521739103</v>
      </c>
      <c r="T306" s="4">
        <f t="shared" si="33"/>
        <v>4.0286956521739103</v>
      </c>
      <c r="U306" s="28">
        <f t="shared" si="34"/>
        <v>0</v>
      </c>
      <c r="V306" s="4"/>
      <c r="AA306" s="94"/>
      <c r="AB306" s="94"/>
      <c r="AC306" s="94"/>
      <c r="AD306" s="94"/>
      <c r="AE306" s="94"/>
      <c r="AF306" s="94"/>
    </row>
    <row r="307" spans="1:32" ht="15.75">
      <c r="A307" s="68">
        <f t="shared" si="35"/>
        <v>76</v>
      </c>
      <c r="B307" s="69" t="s">
        <v>11</v>
      </c>
      <c r="C307" s="70">
        <v>215.08</v>
      </c>
      <c r="D307" s="70">
        <v>5300</v>
      </c>
      <c r="E307" s="71">
        <v>5090</v>
      </c>
      <c r="F307" s="54">
        <f t="shared" si="29"/>
        <v>4.0581132075471702</v>
      </c>
      <c r="G307" s="28"/>
      <c r="H307" s="69" t="s">
        <v>110</v>
      </c>
      <c r="I307" s="70">
        <v>100</v>
      </c>
      <c r="J307" s="70">
        <v>4250</v>
      </c>
      <c r="K307" s="71">
        <v>4150</v>
      </c>
      <c r="L307" s="49">
        <f t="shared" si="30"/>
        <v>2.3529411764705901</v>
      </c>
      <c r="M307" s="28">
        <f t="shared" si="36"/>
        <v>2.87</v>
      </c>
      <c r="N307" s="72">
        <f t="shared" si="32"/>
        <v>76</v>
      </c>
      <c r="O307" s="14" t="s">
        <v>76</v>
      </c>
      <c r="P307" s="15">
        <v>822.19</v>
      </c>
      <c r="Q307" s="15">
        <v>20620</v>
      </c>
      <c r="R307" s="16">
        <v>19820</v>
      </c>
      <c r="S307" s="49">
        <v>3.9873423860329802</v>
      </c>
      <c r="T307" s="4">
        <f t="shared" si="33"/>
        <v>3.9873423860329802</v>
      </c>
      <c r="U307" s="28">
        <f t="shared" si="34"/>
        <v>0</v>
      </c>
      <c r="V307" s="4"/>
      <c r="AA307" s="94"/>
      <c r="AB307" s="94"/>
      <c r="AC307" s="94"/>
      <c r="AD307" s="94"/>
      <c r="AE307" s="94"/>
      <c r="AF307" s="94"/>
    </row>
    <row r="308" spans="1:32" ht="15.75">
      <c r="A308" s="68">
        <f t="shared" si="35"/>
        <v>77</v>
      </c>
      <c r="B308" s="69" t="s">
        <v>63</v>
      </c>
      <c r="C308" s="70">
        <v>160.78</v>
      </c>
      <c r="D308" s="70">
        <v>4030</v>
      </c>
      <c r="E308" s="71">
        <v>3870</v>
      </c>
      <c r="F308" s="54">
        <f t="shared" si="29"/>
        <v>3.9895781637717098</v>
      </c>
      <c r="G308" s="28"/>
      <c r="H308" s="69" t="s">
        <v>23</v>
      </c>
      <c r="I308" s="70">
        <v>109.93</v>
      </c>
      <c r="J308" s="70">
        <v>4900</v>
      </c>
      <c r="K308" s="71">
        <v>4790</v>
      </c>
      <c r="L308" s="49">
        <f t="shared" si="30"/>
        <v>2.2434693877551002</v>
      </c>
      <c r="M308" s="28">
        <f t="shared" si="36"/>
        <v>3.64</v>
      </c>
      <c r="N308" s="72">
        <f t="shared" si="32"/>
        <v>77</v>
      </c>
      <c r="O308" s="14" t="s">
        <v>28</v>
      </c>
      <c r="P308" s="15">
        <v>346.68</v>
      </c>
      <c r="Q308" s="15">
        <v>8720</v>
      </c>
      <c r="R308" s="16">
        <v>8350</v>
      </c>
      <c r="S308" s="49">
        <v>3.9756880733945001</v>
      </c>
      <c r="T308" s="4">
        <f t="shared" si="33"/>
        <v>3.9756880733945001</v>
      </c>
      <c r="U308" s="28">
        <f t="shared" si="34"/>
        <v>-4.4408920985006301E-15</v>
      </c>
      <c r="V308" s="4"/>
      <c r="AA308" s="94"/>
      <c r="AB308" s="94"/>
      <c r="AC308" s="94"/>
      <c r="AD308" s="94"/>
      <c r="AE308" s="94"/>
      <c r="AF308" s="94"/>
    </row>
    <row r="309" spans="1:32" ht="15.75">
      <c r="A309" s="68">
        <f t="shared" si="35"/>
        <v>78</v>
      </c>
      <c r="B309" s="69" t="s">
        <v>58</v>
      </c>
      <c r="C309" s="70">
        <v>356.92</v>
      </c>
      <c r="D309" s="70">
        <v>9060</v>
      </c>
      <c r="E309" s="71">
        <v>8710</v>
      </c>
      <c r="F309" s="54">
        <f t="shared" si="29"/>
        <v>3.9395143487858699</v>
      </c>
      <c r="G309" s="28"/>
      <c r="H309" s="69" t="s">
        <v>100</v>
      </c>
      <c r="I309" s="70">
        <v>128.11000000000001</v>
      </c>
      <c r="J309" s="70">
        <v>5730</v>
      </c>
      <c r="K309" s="71">
        <v>5600</v>
      </c>
      <c r="L309" s="49">
        <f t="shared" si="30"/>
        <v>2.2357766143106499</v>
      </c>
      <c r="M309" s="28">
        <f t="shared" si="36"/>
        <v>-3.37</v>
      </c>
      <c r="N309" s="72">
        <f t="shared" si="32"/>
        <v>78</v>
      </c>
      <c r="O309" s="14" t="s">
        <v>78</v>
      </c>
      <c r="P309" s="15">
        <v>340.83</v>
      </c>
      <c r="Q309" s="15">
        <v>8600</v>
      </c>
      <c r="R309" s="16">
        <v>8230</v>
      </c>
      <c r="S309" s="49">
        <v>3.9631395348837199</v>
      </c>
      <c r="T309" s="4">
        <f t="shared" si="33"/>
        <v>3.9631395348837199</v>
      </c>
      <c r="U309" s="28">
        <f t="shared" si="34"/>
        <v>0</v>
      </c>
      <c r="V309" s="4"/>
      <c r="AA309" s="94"/>
      <c r="AB309" s="94"/>
      <c r="AC309" s="94"/>
      <c r="AD309" s="94"/>
      <c r="AE309" s="94"/>
      <c r="AF309" s="94"/>
    </row>
    <row r="310" spans="1:32" ht="15.75">
      <c r="A310" s="68">
        <f t="shared" si="35"/>
        <v>79</v>
      </c>
      <c r="B310" s="69" t="s">
        <v>37</v>
      </c>
      <c r="C310" s="70">
        <v>230</v>
      </c>
      <c r="D310" s="70">
        <v>6030</v>
      </c>
      <c r="E310" s="71">
        <v>5800</v>
      </c>
      <c r="F310" s="54">
        <f t="shared" si="29"/>
        <v>3.8142620232172502</v>
      </c>
      <c r="G310" s="28"/>
      <c r="H310" s="69" t="s">
        <v>84</v>
      </c>
      <c r="I310" s="70">
        <v>19.559999999999999</v>
      </c>
      <c r="J310" s="70">
        <v>930</v>
      </c>
      <c r="K310" s="71">
        <v>920</v>
      </c>
      <c r="L310" s="49">
        <f t="shared" si="30"/>
        <v>2.1032258064516101</v>
      </c>
      <c r="M310" s="28">
        <f t="shared" si="36"/>
        <v>6.9999999999993207E-2</v>
      </c>
      <c r="N310" s="72">
        <f t="shared" si="32"/>
        <v>79</v>
      </c>
      <c r="O310" s="14" t="s">
        <v>68</v>
      </c>
      <c r="P310" s="15">
        <v>917.71</v>
      </c>
      <c r="Q310" s="15">
        <v>23410</v>
      </c>
      <c r="R310" s="16">
        <v>22490</v>
      </c>
      <c r="S310" s="49">
        <v>3.9201623237932499</v>
      </c>
      <c r="T310" s="4">
        <f t="shared" si="33"/>
        <v>3.9201623237932499</v>
      </c>
      <c r="U310" s="28">
        <f t="shared" si="34"/>
        <v>0</v>
      </c>
      <c r="V310" s="4"/>
      <c r="AA310" s="94"/>
      <c r="AB310" s="94"/>
      <c r="AC310" s="94"/>
      <c r="AD310" s="94"/>
      <c r="AE310" s="94"/>
      <c r="AF310" s="94"/>
    </row>
    <row r="311" spans="1:32" ht="15.75">
      <c r="A311" s="68">
        <f t="shared" si="35"/>
        <v>80</v>
      </c>
      <c r="B311" s="69" t="s">
        <v>25</v>
      </c>
      <c r="C311" s="70">
        <v>173.51</v>
      </c>
      <c r="D311" s="70">
        <v>4560</v>
      </c>
      <c r="E311" s="71">
        <v>4350</v>
      </c>
      <c r="F311" s="54">
        <f t="shared" si="29"/>
        <v>3.8050438596491198</v>
      </c>
      <c r="G311" s="28"/>
      <c r="H311" s="69" t="s">
        <v>28</v>
      </c>
      <c r="I311" s="70">
        <v>126.94</v>
      </c>
      <c r="J311" s="70">
        <v>6150</v>
      </c>
      <c r="K311" s="71">
        <v>6010</v>
      </c>
      <c r="L311" s="49">
        <f t="shared" si="30"/>
        <v>2.06406504065041</v>
      </c>
      <c r="M311" s="28">
        <f t="shared" si="36"/>
        <v>-3.9300000000000099</v>
      </c>
      <c r="N311" s="72">
        <f t="shared" si="32"/>
        <v>80</v>
      </c>
      <c r="O311" s="14" t="s">
        <v>37</v>
      </c>
      <c r="P311" s="15">
        <v>624.08000000000004</v>
      </c>
      <c r="Q311" s="15">
        <v>16210</v>
      </c>
      <c r="R311" s="16">
        <v>15590</v>
      </c>
      <c r="S311" s="49">
        <v>3.84996915484269</v>
      </c>
      <c r="T311" s="4">
        <f t="shared" si="33"/>
        <v>3.84996915484269</v>
      </c>
      <c r="U311" s="28">
        <f t="shared" si="34"/>
        <v>0</v>
      </c>
      <c r="V311" s="4"/>
      <c r="AA311" s="94"/>
      <c r="AB311" s="94"/>
      <c r="AC311" s="94"/>
      <c r="AD311" s="94"/>
      <c r="AE311" s="94"/>
      <c r="AF311" s="94"/>
    </row>
    <row r="312" spans="1:32" ht="15.75">
      <c r="A312" s="68">
        <f t="shared" si="35"/>
        <v>81</v>
      </c>
      <c r="B312" s="69" t="s">
        <v>44</v>
      </c>
      <c r="C312" s="70">
        <v>254.97</v>
      </c>
      <c r="D312" s="70">
        <v>7150</v>
      </c>
      <c r="E312" s="71">
        <v>6890</v>
      </c>
      <c r="F312" s="54">
        <f t="shared" si="29"/>
        <v>3.5660139860139899</v>
      </c>
      <c r="G312" s="28"/>
      <c r="H312" s="69" t="s">
        <v>107</v>
      </c>
      <c r="I312" s="70">
        <v>30</v>
      </c>
      <c r="J312" s="70">
        <v>1660</v>
      </c>
      <c r="K312" s="71">
        <v>6130</v>
      </c>
      <c r="L312" s="49">
        <f t="shared" si="30"/>
        <v>1.80722891566265</v>
      </c>
      <c r="M312" s="28">
        <f t="shared" si="36"/>
        <v>0.48</v>
      </c>
      <c r="N312" s="72">
        <f t="shared" si="32"/>
        <v>81</v>
      </c>
      <c r="O312" s="14" t="s">
        <v>100</v>
      </c>
      <c r="P312" s="15">
        <v>634.99</v>
      </c>
      <c r="Q312" s="15">
        <v>17110</v>
      </c>
      <c r="R312" s="16">
        <v>16480</v>
      </c>
      <c r="S312" s="49">
        <v>3.7112215078901198</v>
      </c>
      <c r="T312" s="4">
        <f t="shared" si="33"/>
        <v>3.7112215078901198</v>
      </c>
      <c r="U312" s="28">
        <f t="shared" si="34"/>
        <v>0</v>
      </c>
      <c r="V312" s="4"/>
      <c r="AA312" s="94"/>
      <c r="AB312" s="94"/>
      <c r="AC312" s="94"/>
      <c r="AD312" s="94"/>
      <c r="AE312" s="94"/>
      <c r="AF312" s="94"/>
    </row>
    <row r="313" spans="1:32" ht="15.75">
      <c r="A313" s="68">
        <f t="shared" si="35"/>
        <v>82</v>
      </c>
      <c r="B313" s="69" t="s">
        <v>95</v>
      </c>
      <c r="C313" s="70">
        <v>231.1</v>
      </c>
      <c r="D313" s="70">
        <v>7120</v>
      </c>
      <c r="E313" s="71">
        <v>6900</v>
      </c>
      <c r="F313" s="54">
        <f t="shared" si="29"/>
        <v>3.2457865168539302</v>
      </c>
      <c r="G313" s="28"/>
      <c r="H313" s="69" t="s">
        <v>5</v>
      </c>
      <c r="I313" s="70">
        <v>37.64</v>
      </c>
      <c r="J313" s="70">
        <v>2100</v>
      </c>
      <c r="K313" s="71">
        <v>2040</v>
      </c>
      <c r="L313" s="49">
        <f t="shared" si="30"/>
        <v>1.79238095238095</v>
      </c>
      <c r="M313" s="28">
        <f t="shared" si="36"/>
        <v>-53.48</v>
      </c>
      <c r="N313" s="72">
        <f t="shared" si="32"/>
        <v>82</v>
      </c>
      <c r="O313" s="14" t="s">
        <v>70</v>
      </c>
      <c r="P313" s="15">
        <v>364.59</v>
      </c>
      <c r="Q313" s="15">
        <v>10310</v>
      </c>
      <c r="R313" s="16">
        <v>14450</v>
      </c>
      <c r="S313" s="49">
        <v>3.53627546071775</v>
      </c>
      <c r="T313" s="4">
        <f t="shared" si="33"/>
        <v>3.53627546071775</v>
      </c>
      <c r="U313" s="28">
        <f t="shared" si="34"/>
        <v>0</v>
      </c>
      <c r="V313" s="4"/>
      <c r="AA313" s="94"/>
      <c r="AB313" s="94"/>
      <c r="AC313" s="94"/>
      <c r="AD313" s="94"/>
      <c r="AE313" s="94"/>
      <c r="AF313" s="94"/>
    </row>
    <row r="314" spans="1:32" ht="15.75">
      <c r="A314" s="68">
        <f t="shared" si="35"/>
        <v>83</v>
      </c>
      <c r="B314" s="69" t="s">
        <v>77</v>
      </c>
      <c r="C314" s="70">
        <v>277.27</v>
      </c>
      <c r="D314" s="70">
        <v>8950</v>
      </c>
      <c r="E314" s="71">
        <v>8700</v>
      </c>
      <c r="F314" s="49">
        <f t="shared" si="29"/>
        <v>3.0979888268156399</v>
      </c>
      <c r="G314" s="28"/>
      <c r="H314" s="69" t="s">
        <v>44</v>
      </c>
      <c r="I314" s="70">
        <v>160.15</v>
      </c>
      <c r="J314" s="70">
        <v>9030</v>
      </c>
      <c r="K314" s="71">
        <v>8890</v>
      </c>
      <c r="L314" s="49">
        <f t="shared" si="30"/>
        <v>1.7735326688815101</v>
      </c>
      <c r="M314" s="28">
        <f t="shared" si="36"/>
        <v>0</v>
      </c>
      <c r="N314" s="72">
        <f t="shared" si="32"/>
        <v>83</v>
      </c>
      <c r="O314" s="14" t="s">
        <v>25</v>
      </c>
      <c r="P314" s="15">
        <v>467.24</v>
      </c>
      <c r="Q314" s="15">
        <v>13300</v>
      </c>
      <c r="R314" s="16">
        <v>12780</v>
      </c>
      <c r="S314" s="49">
        <v>3.5130827067669199</v>
      </c>
      <c r="T314" s="4">
        <f t="shared" si="33"/>
        <v>3.5130827067669199</v>
      </c>
      <c r="U314" s="28">
        <f t="shared" si="34"/>
        <v>0</v>
      </c>
      <c r="V314" s="28"/>
      <c r="AA314" s="94"/>
      <c r="AB314" s="94"/>
      <c r="AC314" s="94"/>
      <c r="AD314" s="94"/>
      <c r="AE314" s="94"/>
      <c r="AF314" s="94"/>
    </row>
    <row r="315" spans="1:32" ht="15.75">
      <c r="A315" s="68">
        <f t="shared" si="35"/>
        <v>84</v>
      </c>
      <c r="B315" s="69" t="s">
        <v>76</v>
      </c>
      <c r="C315" s="70">
        <v>376.36</v>
      </c>
      <c r="D315" s="70">
        <v>13120</v>
      </c>
      <c r="E315" s="71">
        <v>12790</v>
      </c>
      <c r="F315" s="49">
        <f t="shared" si="29"/>
        <v>2.8685975609756098</v>
      </c>
      <c r="G315" s="28"/>
      <c r="H315" s="69" t="s">
        <v>102</v>
      </c>
      <c r="I315" s="70">
        <v>283.18</v>
      </c>
      <c r="J315" s="70">
        <v>16050</v>
      </c>
      <c r="K315" s="71">
        <v>15820</v>
      </c>
      <c r="L315" s="49">
        <f t="shared" si="30"/>
        <v>1.76436137071651</v>
      </c>
      <c r="M315" s="28">
        <f t="shared" si="36"/>
        <v>6.9999999999993207E-2</v>
      </c>
      <c r="N315" s="72">
        <f t="shared" si="32"/>
        <v>84</v>
      </c>
      <c r="O315" s="14" t="s">
        <v>58</v>
      </c>
      <c r="P315" s="15">
        <v>611.29999999999995</v>
      </c>
      <c r="Q315" s="15">
        <v>17430</v>
      </c>
      <c r="R315" s="16">
        <v>16820</v>
      </c>
      <c r="S315" s="49">
        <v>3.5071715433161201</v>
      </c>
      <c r="T315" s="4">
        <f t="shared" si="33"/>
        <v>3.5071715433161201</v>
      </c>
      <c r="U315" s="28">
        <f t="shared" si="34"/>
        <v>0</v>
      </c>
      <c r="V315" s="4"/>
      <c r="AA315" s="94"/>
      <c r="AB315" s="94"/>
      <c r="AC315" s="94"/>
      <c r="AD315" s="94"/>
      <c r="AE315" s="94"/>
      <c r="AF315" s="94"/>
    </row>
    <row r="316" spans="1:32" ht="15.75">
      <c r="A316" s="68">
        <f t="shared" si="35"/>
        <v>85</v>
      </c>
      <c r="B316" s="69" t="s">
        <v>47</v>
      </c>
      <c r="C316" s="70">
        <v>151.05000000000001</v>
      </c>
      <c r="D316" s="70">
        <v>5470</v>
      </c>
      <c r="E316" s="71">
        <v>5320</v>
      </c>
      <c r="F316" s="49">
        <f t="shared" si="29"/>
        <v>2.7614259597806199</v>
      </c>
      <c r="G316" s="28"/>
      <c r="H316" s="69" t="s">
        <v>29</v>
      </c>
      <c r="I316" s="70">
        <v>122.26</v>
      </c>
      <c r="J316" s="70">
        <v>7100</v>
      </c>
      <c r="K316" s="71">
        <v>6970</v>
      </c>
      <c r="L316" s="49">
        <f t="shared" si="30"/>
        <v>1.72197183098592</v>
      </c>
      <c r="M316" s="28">
        <f t="shared" si="36"/>
        <v>1.8899999999999899</v>
      </c>
      <c r="N316" s="72">
        <f t="shared" si="32"/>
        <v>85</v>
      </c>
      <c r="O316" s="14" t="s">
        <v>59</v>
      </c>
      <c r="P316" s="15">
        <v>394.38</v>
      </c>
      <c r="Q316" s="15">
        <v>13330</v>
      </c>
      <c r="R316" s="16">
        <v>12920</v>
      </c>
      <c r="S316" s="49">
        <v>2.9585896474118498</v>
      </c>
      <c r="T316" s="4">
        <f t="shared" si="33"/>
        <v>2.9585896474118498</v>
      </c>
      <c r="U316" s="28">
        <f t="shared" si="34"/>
        <v>0</v>
      </c>
      <c r="V316" s="4"/>
      <c r="AA316" s="94"/>
      <c r="AB316" s="94"/>
      <c r="AC316" s="94"/>
      <c r="AD316" s="94"/>
      <c r="AE316" s="94"/>
      <c r="AF316" s="94"/>
    </row>
    <row r="317" spans="1:32" ht="15.75">
      <c r="A317" s="68">
        <f t="shared" si="35"/>
        <v>86</v>
      </c>
      <c r="B317" s="69" t="s">
        <v>59</v>
      </c>
      <c r="C317" s="70">
        <v>253.42</v>
      </c>
      <c r="D317" s="70">
        <v>9650</v>
      </c>
      <c r="E317" s="71">
        <v>9390</v>
      </c>
      <c r="F317" s="49">
        <f t="shared" si="29"/>
        <v>2.62611398963731</v>
      </c>
      <c r="G317" s="28"/>
      <c r="H317" s="69" t="s">
        <v>68</v>
      </c>
      <c r="I317" s="70">
        <v>206.73</v>
      </c>
      <c r="J317" s="70">
        <v>13720</v>
      </c>
      <c r="K317" s="71">
        <v>13510</v>
      </c>
      <c r="L317" s="49">
        <f t="shared" si="30"/>
        <v>1.50677842565598</v>
      </c>
      <c r="M317" s="28">
        <f t="shared" si="36"/>
        <v>-9.56</v>
      </c>
      <c r="N317" s="72">
        <f t="shared" si="32"/>
        <v>86</v>
      </c>
      <c r="O317" s="14" t="s">
        <v>63</v>
      </c>
      <c r="P317" s="15">
        <v>404.71</v>
      </c>
      <c r="Q317" s="15">
        <v>13700</v>
      </c>
      <c r="R317" s="16">
        <v>13300</v>
      </c>
      <c r="S317" s="49">
        <v>2.9540875912408802</v>
      </c>
      <c r="T317" s="4">
        <f t="shared" si="33"/>
        <v>2.9540875912408802</v>
      </c>
      <c r="U317" s="28">
        <f t="shared" si="34"/>
        <v>-4.4408920985006301E-15</v>
      </c>
      <c r="V317" s="4"/>
      <c r="AA317" s="94"/>
      <c r="AB317" s="94"/>
      <c r="AC317" s="94"/>
      <c r="AD317" s="94"/>
      <c r="AE317" s="94"/>
      <c r="AF317" s="94"/>
    </row>
    <row r="318" spans="1:32" ht="15.75">
      <c r="A318" s="68">
        <f t="shared" si="35"/>
        <v>87</v>
      </c>
      <c r="B318" s="69" t="s">
        <v>3</v>
      </c>
      <c r="C318" s="70">
        <v>276.27999999999997</v>
      </c>
      <c r="D318" s="70">
        <v>10640</v>
      </c>
      <c r="E318" s="71">
        <v>10370</v>
      </c>
      <c r="F318" s="49">
        <f t="shared" si="29"/>
        <v>2.5966165413533799</v>
      </c>
      <c r="G318" s="28"/>
      <c r="H318" s="69" t="s">
        <v>11</v>
      </c>
      <c r="I318" s="70">
        <v>134.33000000000001</v>
      </c>
      <c r="J318" s="70">
        <v>9200</v>
      </c>
      <c r="K318" s="71">
        <v>9070</v>
      </c>
      <c r="L318" s="49">
        <f t="shared" si="30"/>
        <v>1.4601086956521701</v>
      </c>
      <c r="M318" s="28">
        <f t="shared" si="36"/>
        <v>13.06</v>
      </c>
      <c r="N318" s="72">
        <f t="shared" si="32"/>
        <v>87</v>
      </c>
      <c r="O318" s="14" t="s">
        <v>46</v>
      </c>
      <c r="P318" s="15">
        <v>329.01</v>
      </c>
      <c r="Q318" s="15">
        <v>12050</v>
      </c>
      <c r="R318" s="16">
        <v>11730</v>
      </c>
      <c r="S318" s="49">
        <v>2.7303734439834</v>
      </c>
      <c r="T318" s="4">
        <f t="shared" si="33"/>
        <v>2.7303734439834</v>
      </c>
      <c r="U318" s="28">
        <f t="shared" si="34"/>
        <v>0</v>
      </c>
      <c r="V318" s="4"/>
      <c r="AA318" s="94"/>
      <c r="AB318" s="94"/>
      <c r="AC318" s="94"/>
      <c r="AD318" s="94"/>
      <c r="AE318" s="94"/>
      <c r="AF318" s="94"/>
    </row>
    <row r="319" spans="1:32" ht="15.75">
      <c r="A319" s="68">
        <f t="shared" si="35"/>
        <v>88</v>
      </c>
      <c r="B319" s="69" t="s">
        <v>48</v>
      </c>
      <c r="C319" s="70">
        <v>36.4</v>
      </c>
      <c r="D319" s="70">
        <v>1580</v>
      </c>
      <c r="E319" s="71">
        <v>1530</v>
      </c>
      <c r="F319" s="49">
        <f t="shared" si="29"/>
        <v>2.3037974683544298</v>
      </c>
      <c r="G319" s="28"/>
      <c r="H319" s="69" t="s">
        <v>46</v>
      </c>
      <c r="I319" s="70">
        <v>97.93</v>
      </c>
      <c r="J319" s="70">
        <v>7030</v>
      </c>
      <c r="K319" s="71">
        <v>6930</v>
      </c>
      <c r="L319" s="49">
        <f t="shared" si="30"/>
        <v>1.39302987197724</v>
      </c>
      <c r="M319" s="28">
        <f t="shared" si="36"/>
        <v>-4500</v>
      </c>
      <c r="N319" s="72">
        <f t="shared" si="32"/>
        <v>88</v>
      </c>
      <c r="O319" s="14" t="s">
        <v>92</v>
      </c>
      <c r="P319" s="15">
        <v>215.1</v>
      </c>
      <c r="Q319" s="15">
        <v>8090</v>
      </c>
      <c r="R319" s="16">
        <v>7890</v>
      </c>
      <c r="S319" s="49">
        <v>2.6588380716934501</v>
      </c>
      <c r="T319" s="4">
        <f t="shared" si="33"/>
        <v>2.6588380716934501</v>
      </c>
      <c r="U319" s="28">
        <f t="shared" si="34"/>
        <v>0</v>
      </c>
      <c r="AA319" s="94"/>
      <c r="AB319" s="94"/>
      <c r="AC319" s="94"/>
      <c r="AD319" s="94"/>
      <c r="AE319" s="94"/>
      <c r="AF319" s="94"/>
    </row>
    <row r="320" spans="1:32" ht="15.75">
      <c r="A320" s="68">
        <f t="shared" si="35"/>
        <v>89</v>
      </c>
      <c r="B320" s="69" t="s">
        <v>50</v>
      </c>
      <c r="C320" s="70">
        <v>145.01</v>
      </c>
      <c r="D320" s="70">
        <v>6310</v>
      </c>
      <c r="E320" s="71">
        <v>6180</v>
      </c>
      <c r="F320" s="49">
        <f t="shared" si="29"/>
        <v>2.2980982567353401</v>
      </c>
      <c r="G320" s="28"/>
      <c r="H320" s="69" t="s">
        <v>18</v>
      </c>
      <c r="I320" s="70">
        <v>37.61</v>
      </c>
      <c r="J320" s="70">
        <v>2820</v>
      </c>
      <c r="K320" s="71">
        <v>2790</v>
      </c>
      <c r="L320" s="49">
        <f t="shared" si="30"/>
        <v>1.33368794326241</v>
      </c>
      <c r="M320" s="28">
        <f t="shared" si="36"/>
        <v>22.36</v>
      </c>
      <c r="N320" s="72">
        <f t="shared" si="32"/>
        <v>89</v>
      </c>
      <c r="O320" s="14" t="s">
        <v>44</v>
      </c>
      <c r="P320" s="15">
        <v>415.12</v>
      </c>
      <c r="Q320" s="15">
        <v>16180</v>
      </c>
      <c r="R320" s="16">
        <v>15780</v>
      </c>
      <c r="S320" s="49">
        <v>2.5656365883807202</v>
      </c>
      <c r="T320" s="4">
        <f t="shared" si="33"/>
        <v>2.5656365883807202</v>
      </c>
      <c r="U320" s="28">
        <f t="shared" si="34"/>
        <v>0</v>
      </c>
      <c r="AA320" s="94"/>
      <c r="AB320" s="94"/>
      <c r="AC320" s="94"/>
      <c r="AD320" s="94"/>
      <c r="AE320" s="94"/>
      <c r="AF320" s="94"/>
    </row>
    <row r="321" spans="1:32" ht="15.75">
      <c r="A321" s="68">
        <f t="shared" si="35"/>
        <v>90</v>
      </c>
      <c r="B321" s="69" t="s">
        <v>70</v>
      </c>
      <c r="C321" s="70">
        <v>219.2</v>
      </c>
      <c r="D321" s="70">
        <v>9570</v>
      </c>
      <c r="E321" s="71">
        <v>9340</v>
      </c>
      <c r="F321" s="49">
        <f t="shared" si="29"/>
        <v>2.2904911180773202</v>
      </c>
      <c r="G321" s="28"/>
      <c r="H321" s="69" t="s">
        <v>96</v>
      </c>
      <c r="I321" s="70">
        <v>32.700000000000003</v>
      </c>
      <c r="J321" s="70">
        <v>2730</v>
      </c>
      <c r="K321" s="71">
        <v>2700</v>
      </c>
      <c r="L321" s="49">
        <f t="shared" si="30"/>
        <v>1.1978021978022</v>
      </c>
      <c r="M321" s="28">
        <f t="shared" si="36"/>
        <v>-20.149999999999999</v>
      </c>
      <c r="N321" s="72">
        <f t="shared" si="32"/>
        <v>90</v>
      </c>
      <c r="O321" s="14" t="s">
        <v>11</v>
      </c>
      <c r="P321" s="15">
        <v>349.41</v>
      </c>
      <c r="Q321" s="15">
        <v>14500</v>
      </c>
      <c r="R321" s="16">
        <v>14160</v>
      </c>
      <c r="S321" s="49">
        <v>2.4097241379310299</v>
      </c>
      <c r="T321" s="4">
        <f t="shared" si="33"/>
        <v>2.4097241379310299</v>
      </c>
      <c r="U321" s="28">
        <f t="shared" si="34"/>
        <v>4.4408920985006301E-15</v>
      </c>
      <c r="AA321" s="94"/>
      <c r="AB321" s="94"/>
      <c r="AC321" s="94"/>
      <c r="AD321" s="94"/>
      <c r="AE321" s="94"/>
      <c r="AF321" s="94"/>
    </row>
    <row r="322" spans="1:32" ht="15.75">
      <c r="A322" s="68">
        <f t="shared" si="35"/>
        <v>91</v>
      </c>
      <c r="B322" s="69" t="s">
        <v>16</v>
      </c>
      <c r="C322" s="70">
        <v>52.29</v>
      </c>
      <c r="D322" s="70">
        <v>2350</v>
      </c>
      <c r="E322" s="71">
        <v>2300</v>
      </c>
      <c r="F322" s="49">
        <f t="shared" si="29"/>
        <v>2.2251063829787201</v>
      </c>
      <c r="G322" s="28"/>
      <c r="H322" s="69" t="s">
        <v>80</v>
      </c>
      <c r="I322" s="70">
        <v>45.77</v>
      </c>
      <c r="J322" s="70">
        <v>4450</v>
      </c>
      <c r="K322" s="71">
        <v>4400</v>
      </c>
      <c r="L322" s="49">
        <f t="shared" si="30"/>
        <v>1.0285393258427</v>
      </c>
      <c r="M322" s="28">
        <f t="shared" si="36"/>
        <v>-53.18</v>
      </c>
      <c r="N322" s="72">
        <f t="shared" si="32"/>
        <v>91</v>
      </c>
      <c r="O322" s="14" t="s">
        <v>47</v>
      </c>
      <c r="P322" s="15">
        <v>151.05000000000001</v>
      </c>
      <c r="Q322" s="15">
        <v>8700</v>
      </c>
      <c r="R322" s="16">
        <v>8550</v>
      </c>
      <c r="S322" s="49">
        <v>1.7362068965517199</v>
      </c>
      <c r="T322" s="4">
        <f t="shared" si="33"/>
        <v>1.7362068965517199</v>
      </c>
      <c r="U322" s="28">
        <f t="shared" si="34"/>
        <v>4.4408920985006301E-15</v>
      </c>
      <c r="AA322" s="94"/>
      <c r="AB322" s="94"/>
      <c r="AC322" s="94"/>
      <c r="AD322" s="94"/>
      <c r="AE322" s="94"/>
      <c r="AF322" s="94"/>
    </row>
    <row r="323" spans="1:32" ht="15.75">
      <c r="A323" s="68">
        <f t="shared" si="35"/>
        <v>92</v>
      </c>
      <c r="B323" s="69" t="s">
        <v>92</v>
      </c>
      <c r="C323" s="70">
        <v>75.67</v>
      </c>
      <c r="D323" s="70">
        <v>4620</v>
      </c>
      <c r="E323" s="71">
        <v>4550</v>
      </c>
      <c r="F323" s="49">
        <f t="shared" si="29"/>
        <v>1.6378787878787899</v>
      </c>
      <c r="G323" s="28"/>
      <c r="H323" s="69" t="s">
        <v>60</v>
      </c>
      <c r="I323" s="70">
        <v>7.4</v>
      </c>
      <c r="J323" s="70">
        <v>3140</v>
      </c>
      <c r="K323" s="71">
        <v>3140</v>
      </c>
      <c r="L323" s="49">
        <f t="shared" si="30"/>
        <v>0.23566878980891701</v>
      </c>
      <c r="M323" s="28">
        <f t="shared" si="36"/>
        <v>7.7399999999999904</v>
      </c>
      <c r="N323" s="72">
        <f t="shared" si="32"/>
        <v>92</v>
      </c>
      <c r="O323" s="14" t="s">
        <v>95</v>
      </c>
      <c r="P323" s="15">
        <v>231.1</v>
      </c>
      <c r="Q323" s="15">
        <v>17340</v>
      </c>
      <c r="R323" s="16">
        <v>17120</v>
      </c>
      <c r="S323" s="49">
        <v>1.3327566320645901</v>
      </c>
      <c r="T323" s="4">
        <f t="shared" si="33"/>
        <v>1.3327566320645901</v>
      </c>
      <c r="U323" s="28">
        <f t="shared" si="34"/>
        <v>0</v>
      </c>
      <c r="AA323" s="94"/>
      <c r="AB323" s="94"/>
      <c r="AC323" s="94"/>
      <c r="AD323" s="94"/>
      <c r="AE323" s="94"/>
      <c r="AF323" s="94"/>
    </row>
    <row r="324" spans="1:32" ht="15.75">
      <c r="A324" s="68">
        <f t="shared" si="35"/>
        <v>93</v>
      </c>
      <c r="B324" s="69" t="s">
        <v>96</v>
      </c>
      <c r="C324" s="70">
        <v>110.68</v>
      </c>
      <c r="D324" s="70">
        <v>8090</v>
      </c>
      <c r="E324" s="71">
        <v>7980</v>
      </c>
      <c r="F324" s="49">
        <f t="shared" si="29"/>
        <v>1.3681087762669999</v>
      </c>
      <c r="H324" s="69" t="s">
        <v>16</v>
      </c>
      <c r="I324" s="70">
        <v>0</v>
      </c>
      <c r="J324" s="70">
        <v>1880</v>
      </c>
      <c r="K324" s="71">
        <v>1880</v>
      </c>
      <c r="L324" s="49">
        <f t="shared" si="30"/>
        <v>0</v>
      </c>
      <c r="M324" s="28">
        <f t="shared" si="36"/>
        <v>3.2700000000000098</v>
      </c>
      <c r="N324" s="72">
        <f t="shared" si="32"/>
        <v>93</v>
      </c>
      <c r="O324" s="14" t="s">
        <v>96</v>
      </c>
      <c r="P324" s="15">
        <v>143.38</v>
      </c>
      <c r="Q324" s="15">
        <v>10820</v>
      </c>
      <c r="R324" s="16">
        <v>10680</v>
      </c>
      <c r="S324" s="49">
        <v>1.3251386321626599</v>
      </c>
      <c r="T324" s="4">
        <f t="shared" si="33"/>
        <v>1.3251386321626599</v>
      </c>
      <c r="U324" s="28">
        <f t="shared" si="34"/>
        <v>1.7763568394002501E-15</v>
      </c>
      <c r="AA324" s="94"/>
      <c r="AB324" s="94"/>
      <c r="AC324" s="94"/>
      <c r="AD324" s="94"/>
      <c r="AE324" s="94"/>
      <c r="AF324" s="94"/>
    </row>
    <row r="325" spans="1:32" ht="15.75">
      <c r="A325" s="68">
        <f t="shared" si="35"/>
        <v>94</v>
      </c>
      <c r="B325" s="69" t="s">
        <v>60</v>
      </c>
      <c r="C325" s="70">
        <v>23.7</v>
      </c>
      <c r="D325" s="70">
        <v>3420</v>
      </c>
      <c r="E325" s="71">
        <v>3400</v>
      </c>
      <c r="F325" s="49">
        <f t="shared" si="29"/>
        <v>0.69298245614035103</v>
      </c>
      <c r="H325" s="69" t="s">
        <v>20</v>
      </c>
      <c r="I325" s="70">
        <v>0</v>
      </c>
      <c r="J325" s="70">
        <v>370</v>
      </c>
      <c r="K325" s="71">
        <v>370</v>
      </c>
      <c r="L325" s="49">
        <f t="shared" si="30"/>
        <v>0</v>
      </c>
      <c r="M325" s="28">
        <f t="shared" si="36"/>
        <v>-4.3300000000000098</v>
      </c>
      <c r="N325" s="72">
        <f t="shared" si="32"/>
        <v>94</v>
      </c>
      <c r="O325" s="14" t="s">
        <v>16</v>
      </c>
      <c r="P325" s="15">
        <v>52.29</v>
      </c>
      <c r="Q325" s="15">
        <v>4230</v>
      </c>
      <c r="R325" s="16">
        <v>4180</v>
      </c>
      <c r="S325" s="49">
        <v>1.23617021276596</v>
      </c>
      <c r="T325" s="4">
        <f t="shared" si="33"/>
        <v>1.23617021276596</v>
      </c>
      <c r="U325" s="28">
        <f t="shared" si="34"/>
        <v>-2.4424906541753401E-15</v>
      </c>
      <c r="AA325" s="94"/>
      <c r="AB325" s="94"/>
      <c r="AC325" s="94"/>
      <c r="AD325" s="94"/>
      <c r="AE325" s="94"/>
      <c r="AF325" s="94"/>
    </row>
    <row r="326" spans="1:32" ht="15.75">
      <c r="A326" s="68">
        <f t="shared" si="35"/>
        <v>95</v>
      </c>
      <c r="B326" s="69" t="s">
        <v>20</v>
      </c>
      <c r="C326" s="70">
        <v>0</v>
      </c>
      <c r="D326" s="70">
        <v>510</v>
      </c>
      <c r="E326" s="71">
        <v>510</v>
      </c>
      <c r="F326" s="49">
        <f t="shared" si="29"/>
        <v>0</v>
      </c>
      <c r="H326" s="69" t="s">
        <v>30</v>
      </c>
      <c r="I326" s="70">
        <v>0</v>
      </c>
      <c r="J326" s="70">
        <v>3210</v>
      </c>
      <c r="K326" s="71">
        <v>3220</v>
      </c>
      <c r="L326" s="49">
        <f t="shared" si="30"/>
        <v>0</v>
      </c>
      <c r="M326" s="28">
        <f t="shared" si="36"/>
        <v>2.0699999999999901</v>
      </c>
      <c r="N326" s="72">
        <f t="shared" si="32"/>
        <v>95</v>
      </c>
      <c r="O326" s="14" t="s">
        <v>60</v>
      </c>
      <c r="P326" s="15">
        <v>31.1</v>
      </c>
      <c r="Q326" s="15">
        <v>6560</v>
      </c>
      <c r="R326" s="16">
        <v>6540</v>
      </c>
      <c r="S326" s="49">
        <v>0.47408536585365901</v>
      </c>
      <c r="T326" s="4">
        <f t="shared" si="33"/>
        <v>0.47408536585365901</v>
      </c>
      <c r="U326" s="28">
        <f t="shared" si="34"/>
        <v>-4.9960036108132005E-16</v>
      </c>
      <c r="AA326" s="94"/>
      <c r="AB326" s="94"/>
      <c r="AC326" s="94"/>
      <c r="AD326" s="94"/>
      <c r="AE326" s="94"/>
      <c r="AF326" s="94"/>
    </row>
    <row r="327" spans="1:32" ht="15.75">
      <c r="A327" s="68">
        <f t="shared" si="35"/>
        <v>96</v>
      </c>
      <c r="B327" s="69" t="s">
        <v>30</v>
      </c>
      <c r="C327" s="70">
        <v>0</v>
      </c>
      <c r="D327" s="70">
        <v>5370</v>
      </c>
      <c r="E327" s="71">
        <v>5260</v>
      </c>
      <c r="F327" s="49">
        <f t="shared" si="29"/>
        <v>0</v>
      </c>
      <c r="H327" s="69" t="s">
        <v>42</v>
      </c>
      <c r="I327" s="70">
        <v>0</v>
      </c>
      <c r="J327" s="70">
        <v>2710</v>
      </c>
      <c r="K327" s="71">
        <v>2710</v>
      </c>
      <c r="L327" s="49">
        <f t="shared" si="30"/>
        <v>0</v>
      </c>
      <c r="M327" s="28">
        <f t="shared" si="36"/>
        <v>-7.61</v>
      </c>
      <c r="N327" s="72">
        <f t="shared" si="32"/>
        <v>96</v>
      </c>
      <c r="O327" s="14" t="s">
        <v>20</v>
      </c>
      <c r="P327" s="15">
        <v>0</v>
      </c>
      <c r="Q327" s="15">
        <v>880</v>
      </c>
      <c r="R327" s="16">
        <v>880</v>
      </c>
      <c r="S327" s="49">
        <v>0</v>
      </c>
      <c r="T327" s="4">
        <f t="shared" ref="T327:T330" si="37">(P327/Q327)*100</f>
        <v>0</v>
      </c>
      <c r="U327" s="28">
        <f t="shared" ref="U327:U330" si="38">T327-S327</f>
        <v>0</v>
      </c>
      <c r="AA327" s="94"/>
      <c r="AB327" s="94"/>
      <c r="AC327" s="94"/>
      <c r="AD327" s="94"/>
      <c r="AE327" s="94"/>
      <c r="AF327" s="94"/>
    </row>
    <row r="328" spans="1:32" ht="15.75">
      <c r="A328" s="68">
        <f t="shared" si="35"/>
        <v>97</v>
      </c>
      <c r="B328" s="69" t="s">
        <v>42</v>
      </c>
      <c r="C328" s="70">
        <v>0</v>
      </c>
      <c r="D328" s="70">
        <v>2610</v>
      </c>
      <c r="E328" s="71">
        <v>2610</v>
      </c>
      <c r="F328" s="49">
        <f t="shared" si="29"/>
        <v>0</v>
      </c>
      <c r="H328" s="69" t="s">
        <v>47</v>
      </c>
      <c r="I328" s="70"/>
      <c r="J328" s="70">
        <v>3230</v>
      </c>
      <c r="K328" s="71">
        <v>3230</v>
      </c>
      <c r="L328" s="49">
        <f t="shared" si="30"/>
        <v>0</v>
      </c>
      <c r="M328" s="28">
        <f t="shared" si="36"/>
        <v>-2.7</v>
      </c>
      <c r="N328" s="72">
        <f t="shared" si="32"/>
        <v>97</v>
      </c>
      <c r="O328" s="14" t="s">
        <v>30</v>
      </c>
      <c r="P328" s="15">
        <v>0</v>
      </c>
      <c r="Q328" s="15">
        <v>8580</v>
      </c>
      <c r="R328" s="16">
        <v>8480</v>
      </c>
      <c r="S328" s="49">
        <v>0</v>
      </c>
      <c r="T328" s="4">
        <f t="shared" si="37"/>
        <v>0</v>
      </c>
      <c r="U328" s="28">
        <f t="shared" si="38"/>
        <v>0</v>
      </c>
      <c r="AA328" s="94"/>
      <c r="AB328" s="94"/>
      <c r="AC328" s="94"/>
      <c r="AD328" s="94"/>
      <c r="AE328" s="94"/>
      <c r="AF328" s="94"/>
    </row>
    <row r="329" spans="1:32" ht="15.75">
      <c r="A329" s="68">
        <f t="shared" si="35"/>
        <v>98</v>
      </c>
      <c r="B329" s="69" t="s">
        <v>52</v>
      </c>
      <c r="C329" s="70">
        <v>0</v>
      </c>
      <c r="D329" s="70">
        <v>480</v>
      </c>
      <c r="E329" s="71">
        <v>480</v>
      </c>
      <c r="F329" s="49">
        <f t="shared" si="29"/>
        <v>0</v>
      </c>
      <c r="H329" s="69" t="s">
        <v>52</v>
      </c>
      <c r="I329" s="70">
        <v>0</v>
      </c>
      <c r="J329" s="70">
        <v>960</v>
      </c>
      <c r="K329" s="71">
        <v>960</v>
      </c>
      <c r="L329" s="49">
        <f t="shared" si="30"/>
        <v>0</v>
      </c>
      <c r="M329" s="28">
        <f t="shared" si="36"/>
        <v>4.2300000000000004</v>
      </c>
      <c r="N329" s="72">
        <f t="shared" si="32"/>
        <v>98</v>
      </c>
      <c r="O329" s="14" t="s">
        <v>42</v>
      </c>
      <c r="P329" s="15">
        <v>0</v>
      </c>
      <c r="Q329" s="15">
        <v>5320</v>
      </c>
      <c r="R329" s="16">
        <v>5320</v>
      </c>
      <c r="S329" s="49">
        <v>0</v>
      </c>
      <c r="T329" s="4">
        <f t="shared" si="37"/>
        <v>0</v>
      </c>
      <c r="U329" s="28">
        <f t="shared" si="38"/>
        <v>0</v>
      </c>
      <c r="AA329" s="94"/>
      <c r="AB329" s="94"/>
      <c r="AC329" s="94"/>
      <c r="AD329" s="94"/>
      <c r="AE329" s="94"/>
      <c r="AF329" s="94"/>
    </row>
    <row r="330" spans="1:32" ht="15.75">
      <c r="A330" s="68">
        <f t="shared" si="35"/>
        <v>99</v>
      </c>
      <c r="B330" s="74" t="s">
        <v>62</v>
      </c>
      <c r="C330" s="75">
        <v>0</v>
      </c>
      <c r="D330" s="75">
        <v>1600</v>
      </c>
      <c r="E330" s="76">
        <v>1600</v>
      </c>
      <c r="F330" s="49">
        <f t="shared" si="29"/>
        <v>0</v>
      </c>
      <c r="H330" s="74" t="s">
        <v>95</v>
      </c>
      <c r="I330" s="75">
        <v>0</v>
      </c>
      <c r="J330" s="75">
        <v>10220</v>
      </c>
      <c r="K330" s="76">
        <v>10220</v>
      </c>
      <c r="L330" s="49">
        <f t="shared" si="30"/>
        <v>0</v>
      </c>
      <c r="M330" s="28">
        <f t="shared" si="36"/>
        <v>-7.4</v>
      </c>
      <c r="N330" s="72">
        <f t="shared" si="32"/>
        <v>99</v>
      </c>
      <c r="O330" s="17" t="s">
        <v>52</v>
      </c>
      <c r="P330" s="18">
        <v>0</v>
      </c>
      <c r="Q330" s="18">
        <v>1440</v>
      </c>
      <c r="R330" s="19">
        <v>1440</v>
      </c>
      <c r="S330" s="49">
        <v>0</v>
      </c>
      <c r="T330" s="4">
        <f t="shared" si="37"/>
        <v>0</v>
      </c>
      <c r="U330" s="28">
        <f t="shared" si="38"/>
        <v>0</v>
      </c>
      <c r="AA330" s="94"/>
      <c r="AB330" s="94"/>
      <c r="AC330" s="94"/>
      <c r="AD330" s="94"/>
      <c r="AE330" s="94"/>
      <c r="AF330" s="94"/>
    </row>
    <row r="331" spans="1:32" ht="15.75">
      <c r="B331" s="77" t="s">
        <v>103</v>
      </c>
      <c r="C331" s="78">
        <f t="shared" ref="C331:E331" si="39">SUM(C232:C330)</f>
        <v>83691.811000000002</v>
      </c>
      <c r="D331" s="78">
        <f t="shared" si="39"/>
        <v>721250</v>
      </c>
      <c r="E331" s="78">
        <f t="shared" si="39"/>
        <v>713170</v>
      </c>
      <c r="F331" s="79">
        <f t="shared" si="29"/>
        <v>11.6037172963605</v>
      </c>
      <c r="G331" s="28"/>
      <c r="H331" s="77" t="s">
        <v>103</v>
      </c>
      <c r="I331" s="78">
        <f t="shared" ref="I331:K331" si="40">SUM(I232:I330)</f>
        <v>46320.91</v>
      </c>
      <c r="J331" s="78">
        <f t="shared" si="40"/>
        <v>763460</v>
      </c>
      <c r="K331" s="78">
        <f t="shared" si="40"/>
        <v>784150</v>
      </c>
      <c r="L331" s="54">
        <f t="shared" si="30"/>
        <v>6.0672346946794899</v>
      </c>
      <c r="N331" s="80"/>
      <c r="O331" s="81" t="s">
        <v>103</v>
      </c>
      <c r="P331" s="78">
        <f>SUM(P232:P330)</f>
        <v>130012.72100000001</v>
      </c>
      <c r="Q331" s="78">
        <f>SUM(Q232:Q330)</f>
        <v>1484710</v>
      </c>
      <c r="R331" s="78">
        <f>SUM(R232:R330)</f>
        <v>1497320</v>
      </c>
      <c r="S331" s="82">
        <f>(P331/Q331)*100</f>
        <v>8.7567754645688396</v>
      </c>
      <c r="AA331" s="94"/>
      <c r="AB331" s="94"/>
      <c r="AC331" s="94"/>
      <c r="AD331" s="94"/>
      <c r="AE331" s="94"/>
      <c r="AF331" s="94"/>
    </row>
    <row r="332" spans="1:32" ht="15.75">
      <c r="C332" s="27"/>
      <c r="D332" s="27"/>
      <c r="E332" s="27"/>
      <c r="G332" s="28"/>
      <c r="H332" s="4"/>
      <c r="I332" s="27"/>
      <c r="J332" s="27"/>
      <c r="K332" s="27"/>
      <c r="N332" s="80"/>
      <c r="O332" s="4"/>
      <c r="P332" s="27">
        <f>SUM(P232:P330)</f>
        <v>130012.72100000001</v>
      </c>
      <c r="Q332" s="27">
        <f>SUM(Q232:Q330)</f>
        <v>1484710</v>
      </c>
      <c r="R332" s="27">
        <f>SUM(R232:R330)</f>
        <v>1497320</v>
      </c>
      <c r="AA332" s="94"/>
      <c r="AB332" s="94"/>
      <c r="AC332" s="94"/>
      <c r="AD332" s="94"/>
      <c r="AE332" s="94"/>
      <c r="AF332" s="94"/>
    </row>
    <row r="333" spans="1:32">
      <c r="G333" s="28"/>
      <c r="N333" s="83"/>
      <c r="O333" s="4"/>
      <c r="P333" s="28">
        <f>P331-P332</f>
        <v>0</v>
      </c>
      <c r="Q333" s="28">
        <f>Q331-Q332</f>
        <v>0</v>
      </c>
      <c r="R333" s="28">
        <f>R331-R332</f>
        <v>0</v>
      </c>
      <c r="AA333" s="94"/>
      <c r="AB333" s="94"/>
      <c r="AC333" s="94"/>
      <c r="AD333" s="94"/>
      <c r="AE333" s="94"/>
      <c r="AF333" s="94"/>
    </row>
    <row r="334" spans="1:32">
      <c r="C334" s="1">
        <f>C331-C214</f>
        <v>0</v>
      </c>
      <c r="I334" s="1">
        <f>I331-G214</f>
        <v>0</v>
      </c>
      <c r="P334" s="1">
        <f>(C331+I331)-P331</f>
        <v>0</v>
      </c>
      <c r="Q334" s="1">
        <f>(D331+J331)-Q331</f>
        <v>0</v>
      </c>
      <c r="R334" s="1">
        <f>(E331+K331)-R331</f>
        <v>0</v>
      </c>
      <c r="AA334" s="94"/>
      <c r="AB334" s="94"/>
      <c r="AC334" s="94"/>
      <c r="AD334" s="94"/>
      <c r="AE334" s="94"/>
      <c r="AF334" s="94"/>
    </row>
    <row r="335" spans="1:32">
      <c r="Q335" s="4"/>
      <c r="AA335" s="94"/>
      <c r="AB335" s="94"/>
      <c r="AC335" s="94"/>
      <c r="AD335" s="94"/>
      <c r="AE335" s="94"/>
      <c r="AF335" s="94"/>
    </row>
    <row r="336" spans="1:32">
      <c r="A336" s="4"/>
      <c r="C336" s="4"/>
      <c r="D336" s="4"/>
      <c r="E336" s="4"/>
      <c r="F336" s="4"/>
      <c r="AA336" s="94"/>
      <c r="AB336" s="94"/>
      <c r="AC336" s="94"/>
      <c r="AD336" s="94"/>
      <c r="AE336" s="94"/>
      <c r="AF336" s="94"/>
    </row>
    <row r="337" spans="1:32">
      <c r="A337" s="4"/>
      <c r="C337" s="4"/>
      <c r="D337" s="4"/>
      <c r="E337" s="4"/>
      <c r="F337" s="4"/>
      <c r="AA337" s="94"/>
      <c r="AB337" s="94"/>
      <c r="AC337" s="94"/>
      <c r="AD337" s="94"/>
      <c r="AE337" s="94"/>
      <c r="AF337" s="94"/>
    </row>
    <row r="338" spans="1:32">
      <c r="A338" s="4"/>
      <c r="C338" s="4"/>
      <c r="D338" s="4"/>
      <c r="E338" s="4"/>
      <c r="F338" s="4"/>
      <c r="T338" s="1"/>
      <c r="AA338" s="94"/>
      <c r="AB338" s="94"/>
      <c r="AC338" s="94"/>
      <c r="AD338" s="94"/>
      <c r="AE338" s="94"/>
      <c r="AF338" s="94"/>
    </row>
    <row r="339" spans="1:32">
      <c r="A339" s="4"/>
      <c r="C339" s="4"/>
      <c r="D339" s="4"/>
      <c r="E339" s="4"/>
      <c r="F339" s="4"/>
      <c r="AA339" s="94"/>
      <c r="AB339" s="94"/>
      <c r="AC339" s="94"/>
      <c r="AD339" s="94"/>
      <c r="AE339" s="94"/>
      <c r="AF339" s="94"/>
    </row>
    <row r="340" spans="1:32">
      <c r="A340" s="4"/>
      <c r="C340" s="4"/>
      <c r="D340" s="4"/>
      <c r="E340" s="4"/>
      <c r="F340" s="4"/>
      <c r="AA340" s="94"/>
      <c r="AB340" s="94"/>
      <c r="AC340" s="94"/>
      <c r="AD340" s="94"/>
      <c r="AE340" s="94"/>
      <c r="AF340" s="94"/>
    </row>
    <row r="341" spans="1:32">
      <c r="A341" s="4"/>
      <c r="C341" s="4"/>
      <c r="D341" s="4"/>
      <c r="E341" s="4"/>
      <c r="F341" s="4"/>
      <c r="AA341" s="94"/>
      <c r="AB341" s="94"/>
      <c r="AC341" s="94"/>
      <c r="AD341" s="94"/>
      <c r="AE341" s="94"/>
      <c r="AF341" s="94"/>
    </row>
    <row r="342" spans="1:32">
      <c r="A342" s="4"/>
      <c r="C342" s="4"/>
      <c r="D342" s="4"/>
      <c r="E342" s="4"/>
      <c r="F342" s="4"/>
      <c r="T342" s="4"/>
      <c r="AA342" s="94"/>
      <c r="AB342" s="94"/>
      <c r="AC342" s="94"/>
      <c r="AD342" s="94"/>
      <c r="AE342" s="94"/>
      <c r="AF342" s="94"/>
    </row>
    <row r="343" spans="1:32">
      <c r="T343" s="4"/>
      <c r="U343" s="28"/>
      <c r="AA343" s="94"/>
      <c r="AB343" s="94"/>
      <c r="AC343" s="94"/>
      <c r="AD343" s="94"/>
      <c r="AE343" s="94"/>
      <c r="AF343" s="94"/>
    </row>
    <row r="344" spans="1:32">
      <c r="T344" s="4"/>
      <c r="U344" s="28"/>
      <c r="AA344" s="94"/>
      <c r="AB344" s="94"/>
      <c r="AC344" s="94"/>
      <c r="AD344" s="94"/>
      <c r="AE344" s="94"/>
      <c r="AF344" s="94"/>
    </row>
    <row r="345" spans="1:32">
      <c r="U345" s="28"/>
      <c r="AA345" s="94"/>
      <c r="AB345" s="94"/>
      <c r="AC345" s="94"/>
      <c r="AD345" s="94"/>
      <c r="AE345" s="94"/>
      <c r="AF345" s="94"/>
    </row>
    <row r="346" spans="1:32">
      <c r="U346" s="28"/>
      <c r="AA346" s="94"/>
      <c r="AB346" s="94"/>
      <c r="AC346" s="94"/>
      <c r="AD346" s="94"/>
      <c r="AE346" s="94"/>
      <c r="AF346" s="94"/>
    </row>
    <row r="347" spans="1:32">
      <c r="M347" s="28"/>
      <c r="U347" s="28"/>
      <c r="AA347" s="94"/>
      <c r="AB347" s="94"/>
      <c r="AC347" s="94"/>
      <c r="AD347" s="94"/>
      <c r="AE347" s="94"/>
      <c r="AF347" s="94"/>
    </row>
    <row r="348" spans="1:32">
      <c r="M348" s="28"/>
      <c r="AA348" s="94"/>
      <c r="AB348" s="94"/>
      <c r="AC348" s="94"/>
      <c r="AD348" s="94"/>
      <c r="AE348" s="94"/>
      <c r="AF348" s="94"/>
    </row>
    <row r="349" spans="1:32">
      <c r="AA349" s="94"/>
      <c r="AB349" s="94"/>
      <c r="AC349" s="94"/>
      <c r="AD349" s="94"/>
      <c r="AE349" s="94"/>
      <c r="AF349" s="94"/>
    </row>
    <row r="350" spans="1:32">
      <c r="AA350" s="94"/>
      <c r="AB350" s="94"/>
      <c r="AC350" s="94"/>
      <c r="AD350" s="94"/>
      <c r="AE350" s="94"/>
      <c r="AF350" s="94"/>
    </row>
    <row r="351" spans="1:32">
      <c r="AA351" s="94"/>
      <c r="AB351" s="94"/>
      <c r="AC351" s="94"/>
      <c r="AD351" s="94"/>
      <c r="AE351" s="94"/>
      <c r="AF351" s="94"/>
    </row>
    <row r="352" spans="1:32">
      <c r="AA352" s="94"/>
      <c r="AB352" s="94"/>
      <c r="AC352" s="94"/>
      <c r="AD352" s="94"/>
      <c r="AE352" s="94"/>
      <c r="AF352" s="94"/>
    </row>
    <row r="357" spans="13:17">
      <c r="M357" s="4"/>
      <c r="O357" s="4"/>
    </row>
    <row r="359" spans="13:17">
      <c r="M359" s="4"/>
      <c r="O359" s="4"/>
    </row>
    <row r="360" spans="13:17">
      <c r="M360" s="4"/>
      <c r="O360" s="4"/>
      <c r="Q360" s="1"/>
    </row>
  </sheetData>
  <sortState ref="B233:F330">
    <sortCondition descending="1" ref="F232:F330"/>
  </sortState>
  <mergeCells count="35">
    <mergeCell ref="AB20:AB21"/>
    <mergeCell ref="AB22:AB23"/>
    <mergeCell ref="AC13:AC14"/>
    <mergeCell ref="AC15:AC16"/>
    <mergeCell ref="T24:T26"/>
    <mergeCell ref="T27:T28"/>
    <mergeCell ref="U67:U68"/>
    <mergeCell ref="AA20:AA21"/>
    <mergeCell ref="AA22:AA23"/>
    <mergeCell ref="Q70:Q71"/>
    <mergeCell ref="R59:R60"/>
    <mergeCell ref="R66:R67"/>
    <mergeCell ref="R70:R71"/>
    <mergeCell ref="S24:S26"/>
    <mergeCell ref="S27:S28"/>
    <mergeCell ref="L56:L57"/>
    <mergeCell ref="L58:L59"/>
    <mergeCell ref="M56:M57"/>
    <mergeCell ref="M58:M59"/>
    <mergeCell ref="Q66:Q67"/>
    <mergeCell ref="H229:L229"/>
    <mergeCell ref="O229:S229"/>
    <mergeCell ref="B230:F230"/>
    <mergeCell ref="H230:L230"/>
    <mergeCell ref="O230:S230"/>
    <mergeCell ref="B112:C112"/>
    <mergeCell ref="F112:G112"/>
    <mergeCell ref="B113:C113"/>
    <mergeCell ref="F113:G113"/>
    <mergeCell ref="B229:F229"/>
    <mergeCell ref="L87:M87"/>
    <mergeCell ref="R87:S87"/>
    <mergeCell ref="I93:J93"/>
    <mergeCell ref="L93:M93"/>
    <mergeCell ref="S93:T93"/>
  </mergeCells>
  <pageMargins left="0.7" right="0.7" top="0.75" bottom="0.75" header="0.3" footer="0.3"/>
  <pageSetup scale="37" orientation="portrait"/>
  <rowBreaks count="3" manualBreakCount="3">
    <brk id="107" max="16383" man="1"/>
    <brk id="111" max="16383" man="1"/>
    <brk id="228" max="16383" man="1"/>
  </rowBreaks>
  <colBreaks count="1" manualBreakCount="1"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ARUz8BfUnnRIwz+CMhlDiYAAAAAAIAAAAAABBmAAAAAQAAIAAAAJsVwfoHlCYCWMN9aa0pBm8hUfSaYPJUfAkDnnYC4ATiAAAAAA6AAAAAAgAAIAAAALh4zChw8psFbJZnQdM8ACtu9A96aM/8fC6VLZbo/tQwUAAAAKSQ7NN8dNNYZQa4EaAjPSMzBqfI8i0OXSUd2Lcr5YyS+adfOUkGdr0kL6S/1sQgw4gXbC7myyMedejQrs2Rdn8PTqO+w8xZbwh5tuF1OALtQAAAAMLpGLn2F/SCkyk8En/JyikOhuOw+zKGWyZ78we7Az7gFide5+us6bjXxz6HJk/V51PYKcCqYCMRfOiLg3JsN6U=</DataMashup>
</file>

<file path=customXml/itemProps1.xml><?xml version="1.0" encoding="utf-8"?>
<ds:datastoreItem xmlns:ds="http://schemas.openxmlformats.org/officeDocument/2006/customXml" ds:itemID="{FE73941E-D24B-4AD7-926F-68A0DABE7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</vt:lpstr>
      <vt:lpstr>sales!Print_Area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kofi afful</dc:creator>
  <cp:lastModifiedBy>thinkpad</cp:lastModifiedBy>
  <cp:lastPrinted>2025-12-19T15:25:00Z</cp:lastPrinted>
  <dcterms:created xsi:type="dcterms:W3CDTF">2024-11-20T15:31:00Z</dcterms:created>
  <dcterms:modified xsi:type="dcterms:W3CDTF">2026-06-10T11:43:14Z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0AA7994E3F8143FC9B99A14F6BC27BE3_12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