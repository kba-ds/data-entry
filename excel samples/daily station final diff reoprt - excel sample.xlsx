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"/>
    </mc:Choice>
  </mc:AlternateContent>
  <bookViews>
    <workbookView xWindow="0" yWindow="0" windowWidth="24000" windowHeight="11400"/>
  </bookViews>
  <sheets>
    <sheet name="final diff" sheetId="4" r:id="rId1"/>
  </sheets>
  <definedNames>
    <definedName name="_xlcn.WorksheetConnection_datasampleEXCELcourse.xlsxtableMon1" hidden="1">#REF!</definedName>
    <definedName name="dailyvar">#REF!</definedName>
    <definedName name="_xlnm.Print_Area" localSheetId="0">'final diff'!$A$907:$L$968</definedName>
    <definedName name="RSS">#REF!</definedName>
    <definedName name="sparkline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70" i="4" l="1"/>
  <c r="M969" i="4"/>
  <c r="M968" i="4"/>
  <c r="L968" i="4"/>
  <c r="K968" i="4"/>
  <c r="J968" i="4"/>
  <c r="E968" i="4"/>
  <c r="D968" i="4"/>
  <c r="M967" i="4"/>
  <c r="K967" i="4"/>
  <c r="G967" i="4"/>
  <c r="E967" i="4"/>
  <c r="A967" i="4"/>
  <c r="L966" i="4"/>
  <c r="K966" i="4"/>
  <c r="G966" i="4"/>
  <c r="E966" i="4"/>
  <c r="A966" i="4"/>
  <c r="K965" i="4"/>
  <c r="G965" i="4"/>
  <c r="E965" i="4"/>
  <c r="A965" i="4"/>
  <c r="L964" i="4"/>
  <c r="K964" i="4"/>
  <c r="G964" i="4"/>
  <c r="E964" i="4"/>
  <c r="A964" i="4"/>
  <c r="K963" i="4"/>
  <c r="G963" i="4"/>
  <c r="E963" i="4"/>
  <c r="A963" i="4"/>
  <c r="L962" i="4"/>
  <c r="K962" i="4"/>
  <c r="G962" i="4"/>
  <c r="E962" i="4"/>
  <c r="A962" i="4"/>
  <c r="L961" i="4"/>
  <c r="K961" i="4"/>
  <c r="G961" i="4"/>
  <c r="E961" i="4"/>
  <c r="A961" i="4"/>
  <c r="K960" i="4"/>
  <c r="G960" i="4"/>
  <c r="E960" i="4"/>
  <c r="A960" i="4"/>
  <c r="K959" i="4"/>
  <c r="G959" i="4"/>
  <c r="E959" i="4"/>
  <c r="A959" i="4"/>
  <c r="K958" i="4"/>
  <c r="G958" i="4"/>
  <c r="E958" i="4"/>
  <c r="A958" i="4"/>
  <c r="L957" i="4"/>
  <c r="K957" i="4"/>
  <c r="G957" i="4"/>
  <c r="E957" i="4"/>
  <c r="A957" i="4"/>
  <c r="L956" i="4"/>
  <c r="K956" i="4"/>
  <c r="G956" i="4"/>
  <c r="E956" i="4"/>
  <c r="A956" i="4"/>
  <c r="K955" i="4"/>
  <c r="G955" i="4"/>
  <c r="E955" i="4"/>
  <c r="A955" i="4"/>
  <c r="K954" i="4"/>
  <c r="G954" i="4"/>
  <c r="E954" i="4"/>
  <c r="A954" i="4"/>
  <c r="K953" i="4"/>
  <c r="G953" i="4"/>
  <c r="E953" i="4"/>
  <c r="A953" i="4"/>
  <c r="L952" i="4"/>
  <c r="K952" i="4"/>
  <c r="G952" i="4"/>
  <c r="E952" i="4"/>
  <c r="A952" i="4"/>
  <c r="L951" i="4"/>
  <c r="K951" i="4"/>
  <c r="G951" i="4"/>
  <c r="E951" i="4"/>
  <c r="A951" i="4"/>
  <c r="K950" i="4"/>
  <c r="G950" i="4"/>
  <c r="E950" i="4"/>
  <c r="A950" i="4"/>
  <c r="K949" i="4"/>
  <c r="G949" i="4"/>
  <c r="E949" i="4"/>
  <c r="A949" i="4"/>
  <c r="K948" i="4"/>
  <c r="G948" i="4"/>
  <c r="E948" i="4"/>
  <c r="A948" i="4"/>
  <c r="K947" i="4"/>
  <c r="G947" i="4"/>
  <c r="E947" i="4"/>
  <c r="A947" i="4"/>
  <c r="L946" i="4"/>
  <c r="K946" i="4"/>
  <c r="G946" i="4"/>
  <c r="E946" i="4"/>
  <c r="A946" i="4"/>
  <c r="K945" i="4"/>
  <c r="G945" i="4"/>
  <c r="E945" i="4"/>
  <c r="A945" i="4"/>
  <c r="K944" i="4"/>
  <c r="G944" i="4"/>
  <c r="E944" i="4"/>
  <c r="A944" i="4"/>
  <c r="K943" i="4"/>
  <c r="G943" i="4"/>
  <c r="E943" i="4"/>
  <c r="A943" i="4"/>
  <c r="K942" i="4"/>
  <c r="G942" i="4"/>
  <c r="E942" i="4"/>
  <c r="A942" i="4"/>
  <c r="L941" i="4"/>
  <c r="K941" i="4"/>
  <c r="G941" i="4"/>
  <c r="E941" i="4"/>
  <c r="A941" i="4"/>
  <c r="L940" i="4"/>
  <c r="K940" i="4"/>
  <c r="G940" i="4"/>
  <c r="E940" i="4"/>
  <c r="A940" i="4"/>
  <c r="L939" i="4"/>
  <c r="K939" i="4"/>
  <c r="G939" i="4"/>
  <c r="E939" i="4"/>
  <c r="A939" i="4"/>
  <c r="L938" i="4"/>
  <c r="K938" i="4"/>
  <c r="G938" i="4"/>
  <c r="E938" i="4"/>
  <c r="A938" i="4"/>
  <c r="L937" i="4"/>
  <c r="K937" i="4"/>
  <c r="G937" i="4"/>
  <c r="E937" i="4"/>
  <c r="A937" i="4"/>
  <c r="L936" i="4"/>
  <c r="K936" i="4"/>
  <c r="G936" i="4"/>
  <c r="E936" i="4"/>
  <c r="A936" i="4"/>
  <c r="L935" i="4"/>
  <c r="K935" i="4"/>
  <c r="G935" i="4"/>
  <c r="E935" i="4"/>
  <c r="A935" i="4"/>
  <c r="L934" i="4"/>
  <c r="K934" i="4"/>
  <c r="G934" i="4"/>
  <c r="E934" i="4"/>
  <c r="A934" i="4"/>
  <c r="K933" i="4"/>
  <c r="G933" i="4"/>
  <c r="E933" i="4"/>
  <c r="A933" i="4"/>
  <c r="K932" i="4"/>
  <c r="G932" i="4"/>
  <c r="E932" i="4"/>
  <c r="A932" i="4"/>
  <c r="K931" i="4"/>
  <c r="G931" i="4"/>
  <c r="E931" i="4"/>
  <c r="A931" i="4"/>
  <c r="L930" i="4"/>
  <c r="K930" i="4"/>
  <c r="G930" i="4"/>
  <c r="E930" i="4"/>
  <c r="A930" i="4"/>
  <c r="L929" i="4"/>
  <c r="K929" i="4"/>
  <c r="G929" i="4"/>
  <c r="E929" i="4"/>
  <c r="D929" i="4"/>
  <c r="A929" i="4"/>
  <c r="K928" i="4"/>
  <c r="G928" i="4"/>
  <c r="E928" i="4"/>
  <c r="A928" i="4"/>
  <c r="K927" i="4"/>
  <c r="G927" i="4"/>
  <c r="E927" i="4"/>
  <c r="A927" i="4"/>
  <c r="S926" i="4"/>
  <c r="L926" i="4"/>
  <c r="K926" i="4"/>
  <c r="G926" i="4"/>
  <c r="E926" i="4"/>
  <c r="A926" i="4"/>
  <c r="K925" i="4"/>
  <c r="G925" i="4"/>
  <c r="E925" i="4"/>
  <c r="A925" i="4"/>
  <c r="K924" i="4"/>
  <c r="G924" i="4"/>
  <c r="E924" i="4"/>
  <c r="A924" i="4"/>
  <c r="K923" i="4"/>
  <c r="G923" i="4"/>
  <c r="E923" i="4"/>
  <c r="A923" i="4"/>
  <c r="L922" i="4"/>
  <c r="K922" i="4"/>
  <c r="G922" i="4"/>
  <c r="E922" i="4"/>
  <c r="A922" i="4"/>
  <c r="L921" i="4"/>
  <c r="K921" i="4"/>
  <c r="G921" i="4"/>
  <c r="E921" i="4"/>
  <c r="A921" i="4"/>
  <c r="L920" i="4"/>
  <c r="K920" i="4"/>
  <c r="G920" i="4"/>
  <c r="E920" i="4"/>
  <c r="A920" i="4"/>
  <c r="L919" i="4"/>
  <c r="K919" i="4"/>
  <c r="G919" i="4"/>
  <c r="E919" i="4"/>
  <c r="A919" i="4"/>
  <c r="K918" i="4"/>
  <c r="G918" i="4"/>
  <c r="E918" i="4"/>
  <c r="A918" i="4"/>
  <c r="L917" i="4"/>
  <c r="K917" i="4"/>
  <c r="G917" i="4"/>
  <c r="E917" i="4"/>
  <c r="A917" i="4"/>
  <c r="K916" i="4"/>
  <c r="G916" i="4"/>
  <c r="E916" i="4"/>
  <c r="A916" i="4"/>
  <c r="K915" i="4"/>
  <c r="G915" i="4"/>
  <c r="E915" i="4"/>
  <c r="A915" i="4"/>
  <c r="L914" i="4"/>
  <c r="K914" i="4"/>
  <c r="G914" i="4"/>
  <c r="E914" i="4"/>
  <c r="A914" i="4"/>
  <c r="L913" i="4"/>
  <c r="K913" i="4"/>
  <c r="G913" i="4"/>
  <c r="E913" i="4"/>
  <c r="A913" i="4"/>
  <c r="K912" i="4"/>
  <c r="G912" i="4"/>
  <c r="E912" i="4"/>
  <c r="A912" i="4"/>
  <c r="K911" i="4"/>
  <c r="G911" i="4"/>
  <c r="E911" i="4"/>
  <c r="A911" i="4"/>
  <c r="L910" i="4"/>
  <c r="K910" i="4"/>
  <c r="G910" i="4"/>
  <c r="E910" i="4"/>
  <c r="A910" i="4"/>
  <c r="K909" i="4"/>
  <c r="E909" i="4"/>
  <c r="M908" i="4"/>
  <c r="M907" i="4"/>
  <c r="M906" i="4"/>
  <c r="M905" i="4"/>
  <c r="L904" i="4"/>
  <c r="K904" i="4"/>
  <c r="J904" i="4"/>
  <c r="E904" i="4"/>
  <c r="D904" i="4"/>
  <c r="L903" i="4"/>
  <c r="K903" i="4"/>
  <c r="G903" i="4"/>
  <c r="E903" i="4"/>
  <c r="A903" i="4"/>
  <c r="L902" i="4"/>
  <c r="K902" i="4"/>
  <c r="G902" i="4"/>
  <c r="E902" i="4"/>
  <c r="A902" i="4"/>
  <c r="L901" i="4"/>
  <c r="K901" i="4"/>
  <c r="G901" i="4"/>
  <c r="E901" i="4"/>
  <c r="A901" i="4"/>
  <c r="K900" i="4"/>
  <c r="G900" i="4"/>
  <c r="E900" i="4"/>
  <c r="A900" i="4"/>
  <c r="L899" i="4"/>
  <c r="K899" i="4"/>
  <c r="G899" i="4"/>
  <c r="E899" i="4"/>
  <c r="A899" i="4"/>
  <c r="K898" i="4"/>
  <c r="G898" i="4"/>
  <c r="E898" i="4"/>
  <c r="A898" i="4"/>
  <c r="L897" i="4"/>
  <c r="K897" i="4"/>
  <c r="G897" i="4"/>
  <c r="E897" i="4"/>
  <c r="A897" i="4"/>
  <c r="L896" i="4"/>
  <c r="K896" i="4"/>
  <c r="G896" i="4"/>
  <c r="E896" i="4"/>
  <c r="A896" i="4"/>
  <c r="K895" i="4"/>
  <c r="G895" i="4"/>
  <c r="E895" i="4"/>
  <c r="A895" i="4"/>
  <c r="L894" i="4"/>
  <c r="K894" i="4"/>
  <c r="G894" i="4"/>
  <c r="E894" i="4"/>
  <c r="A894" i="4"/>
  <c r="L893" i="4"/>
  <c r="K893" i="4"/>
  <c r="G893" i="4"/>
  <c r="E893" i="4"/>
  <c r="A893" i="4"/>
  <c r="L892" i="4"/>
  <c r="K892" i="4"/>
  <c r="G892" i="4"/>
  <c r="E892" i="4"/>
  <c r="A892" i="4"/>
  <c r="L891" i="4"/>
  <c r="K891" i="4"/>
  <c r="G891" i="4"/>
  <c r="E891" i="4"/>
  <c r="A891" i="4"/>
  <c r="L890" i="4"/>
  <c r="K890" i="4"/>
  <c r="G890" i="4"/>
  <c r="E890" i="4"/>
  <c r="A890" i="4"/>
  <c r="K889" i="4"/>
  <c r="G889" i="4"/>
  <c r="E889" i="4"/>
  <c r="A889" i="4"/>
  <c r="L888" i="4"/>
  <c r="K888" i="4"/>
  <c r="G888" i="4"/>
  <c r="E888" i="4"/>
  <c r="A888" i="4"/>
  <c r="L887" i="4"/>
  <c r="K887" i="4"/>
  <c r="G887" i="4"/>
  <c r="E887" i="4"/>
  <c r="A887" i="4"/>
  <c r="L886" i="4"/>
  <c r="K886" i="4"/>
  <c r="G886" i="4"/>
  <c r="E886" i="4"/>
  <c r="A886" i="4"/>
  <c r="L885" i="4"/>
  <c r="K885" i="4"/>
  <c r="G885" i="4"/>
  <c r="E885" i="4"/>
  <c r="A885" i="4"/>
  <c r="K884" i="4"/>
  <c r="G884" i="4"/>
  <c r="E884" i="4"/>
  <c r="A884" i="4"/>
  <c r="K883" i="4"/>
  <c r="G883" i="4"/>
  <c r="E883" i="4"/>
  <c r="A883" i="4"/>
  <c r="L882" i="4"/>
  <c r="K882" i="4"/>
  <c r="G882" i="4"/>
  <c r="E882" i="4"/>
  <c r="A882" i="4"/>
  <c r="L881" i="4"/>
  <c r="K881" i="4"/>
  <c r="G881" i="4"/>
  <c r="E881" i="4"/>
  <c r="A881" i="4"/>
  <c r="L880" i="4"/>
  <c r="K880" i="4"/>
  <c r="G880" i="4"/>
  <c r="E880" i="4"/>
  <c r="A880" i="4"/>
  <c r="L879" i="4"/>
  <c r="K879" i="4"/>
  <c r="G879" i="4"/>
  <c r="E879" i="4"/>
  <c r="A879" i="4"/>
  <c r="L878" i="4"/>
  <c r="K878" i="4"/>
  <c r="G878" i="4"/>
  <c r="E878" i="4"/>
  <c r="A878" i="4"/>
  <c r="L877" i="4"/>
  <c r="K877" i="4"/>
  <c r="G877" i="4"/>
  <c r="E877" i="4"/>
  <c r="A877" i="4"/>
  <c r="K876" i="4"/>
  <c r="G876" i="4"/>
  <c r="E876" i="4"/>
  <c r="A876" i="4"/>
  <c r="L875" i="4"/>
  <c r="K875" i="4"/>
  <c r="G875" i="4"/>
  <c r="E875" i="4"/>
  <c r="A875" i="4"/>
  <c r="L874" i="4"/>
  <c r="K874" i="4"/>
  <c r="G874" i="4"/>
  <c r="E874" i="4"/>
  <c r="A874" i="4"/>
  <c r="L873" i="4"/>
  <c r="K873" i="4"/>
  <c r="G873" i="4"/>
  <c r="E873" i="4"/>
  <c r="A873" i="4"/>
  <c r="L872" i="4"/>
  <c r="K872" i="4"/>
  <c r="G872" i="4"/>
  <c r="E872" i="4"/>
  <c r="A872" i="4"/>
  <c r="L871" i="4"/>
  <c r="K871" i="4"/>
  <c r="G871" i="4"/>
  <c r="E871" i="4"/>
  <c r="A871" i="4"/>
  <c r="L870" i="4"/>
  <c r="K870" i="4"/>
  <c r="G870" i="4"/>
  <c r="E870" i="4"/>
  <c r="A870" i="4"/>
  <c r="K869" i="4"/>
  <c r="G869" i="4"/>
  <c r="E869" i="4"/>
  <c r="A869" i="4"/>
  <c r="L868" i="4"/>
  <c r="K868" i="4"/>
  <c r="G868" i="4"/>
  <c r="E868" i="4"/>
  <c r="A868" i="4"/>
  <c r="K867" i="4"/>
  <c r="G867" i="4"/>
  <c r="E867" i="4"/>
  <c r="A867" i="4"/>
  <c r="L866" i="4"/>
  <c r="K866" i="4"/>
  <c r="G866" i="4"/>
  <c r="E866" i="4"/>
  <c r="A866" i="4"/>
  <c r="K865" i="4"/>
  <c r="G865" i="4"/>
  <c r="E865" i="4"/>
  <c r="A865" i="4"/>
  <c r="K864" i="4"/>
  <c r="G864" i="4"/>
  <c r="E864" i="4"/>
  <c r="A864" i="4"/>
  <c r="K863" i="4"/>
  <c r="G863" i="4"/>
  <c r="E863" i="4"/>
  <c r="A863" i="4"/>
  <c r="K862" i="4"/>
  <c r="G862" i="4"/>
  <c r="E862" i="4"/>
  <c r="A862" i="4"/>
  <c r="L861" i="4"/>
  <c r="K861" i="4"/>
  <c r="G861" i="4"/>
  <c r="E861" i="4"/>
  <c r="A861" i="4"/>
  <c r="L860" i="4"/>
  <c r="K860" i="4"/>
  <c r="G860" i="4"/>
  <c r="E860" i="4"/>
  <c r="A860" i="4"/>
  <c r="L859" i="4"/>
  <c r="K859" i="4"/>
  <c r="G859" i="4"/>
  <c r="E859" i="4"/>
  <c r="A859" i="4"/>
  <c r="L858" i="4"/>
  <c r="K858" i="4"/>
  <c r="G858" i="4"/>
  <c r="E858" i="4"/>
  <c r="A858" i="4"/>
  <c r="L857" i="4"/>
  <c r="K857" i="4"/>
  <c r="G857" i="4"/>
  <c r="E857" i="4"/>
  <c r="A857" i="4"/>
  <c r="L856" i="4"/>
  <c r="K856" i="4"/>
  <c r="G856" i="4"/>
  <c r="E856" i="4"/>
  <c r="A856" i="4"/>
  <c r="K855" i="4"/>
  <c r="G855" i="4"/>
  <c r="E855" i="4"/>
  <c r="A855" i="4"/>
  <c r="K854" i="4"/>
  <c r="G854" i="4"/>
  <c r="E854" i="4"/>
  <c r="A854" i="4"/>
  <c r="K853" i="4"/>
  <c r="G853" i="4"/>
  <c r="E853" i="4"/>
  <c r="A853" i="4"/>
  <c r="L852" i="4"/>
  <c r="K852" i="4"/>
  <c r="G852" i="4"/>
  <c r="E852" i="4"/>
  <c r="A852" i="4"/>
  <c r="K851" i="4"/>
  <c r="G851" i="4"/>
  <c r="E851" i="4"/>
  <c r="A851" i="4"/>
  <c r="L850" i="4"/>
  <c r="K850" i="4"/>
  <c r="G850" i="4"/>
  <c r="E850" i="4"/>
  <c r="A850" i="4"/>
  <c r="L849" i="4"/>
  <c r="K849" i="4"/>
  <c r="G849" i="4"/>
  <c r="E849" i="4"/>
  <c r="A849" i="4"/>
  <c r="L848" i="4"/>
  <c r="K848" i="4"/>
  <c r="G848" i="4"/>
  <c r="E848" i="4"/>
  <c r="A848" i="4"/>
  <c r="L847" i="4"/>
  <c r="K847" i="4"/>
  <c r="G847" i="4"/>
  <c r="E847" i="4"/>
  <c r="A847" i="4"/>
  <c r="L846" i="4"/>
  <c r="K846" i="4"/>
  <c r="G846" i="4"/>
  <c r="E846" i="4"/>
  <c r="A846" i="4"/>
  <c r="L845" i="4"/>
  <c r="K845" i="4"/>
  <c r="G845" i="4"/>
  <c r="E845" i="4"/>
  <c r="A845" i="4"/>
  <c r="L844" i="4"/>
  <c r="K844" i="4"/>
  <c r="G844" i="4"/>
  <c r="E844" i="4"/>
  <c r="A844" i="4"/>
  <c r="K843" i="4"/>
  <c r="G843" i="4"/>
  <c r="E843" i="4"/>
  <c r="A843" i="4"/>
  <c r="K842" i="4"/>
  <c r="G842" i="4"/>
  <c r="E842" i="4"/>
  <c r="A842" i="4"/>
  <c r="K841" i="4"/>
  <c r="G841" i="4"/>
  <c r="E841" i="4"/>
  <c r="A841" i="4"/>
  <c r="L840" i="4"/>
  <c r="K840" i="4"/>
  <c r="G840" i="4"/>
  <c r="E840" i="4"/>
  <c r="A840" i="4"/>
  <c r="L839" i="4"/>
  <c r="K839" i="4"/>
  <c r="G839" i="4"/>
  <c r="E839" i="4"/>
  <c r="A839" i="4"/>
  <c r="K838" i="4"/>
  <c r="G838" i="4"/>
  <c r="E838" i="4"/>
  <c r="A838" i="4"/>
  <c r="L837" i="4"/>
  <c r="K837" i="4"/>
  <c r="G837" i="4"/>
  <c r="E837" i="4"/>
  <c r="A837" i="4"/>
  <c r="L836" i="4"/>
  <c r="K836" i="4"/>
  <c r="G836" i="4"/>
  <c r="E836" i="4"/>
  <c r="A836" i="4"/>
  <c r="K835" i="4"/>
  <c r="G835" i="4"/>
  <c r="E835" i="4"/>
  <c r="A835" i="4"/>
  <c r="L834" i="4"/>
  <c r="K834" i="4"/>
  <c r="G834" i="4"/>
  <c r="E834" i="4"/>
  <c r="D834" i="4"/>
  <c r="A834" i="4"/>
  <c r="K833" i="4"/>
  <c r="G833" i="4"/>
  <c r="E833" i="4"/>
  <c r="A833" i="4"/>
  <c r="K832" i="4"/>
  <c r="G832" i="4"/>
  <c r="E832" i="4"/>
  <c r="A832" i="4"/>
  <c r="L831" i="4"/>
  <c r="K831" i="4"/>
  <c r="G831" i="4"/>
  <c r="E831" i="4"/>
  <c r="A831" i="4"/>
  <c r="L830" i="4"/>
  <c r="K830" i="4"/>
  <c r="G830" i="4"/>
  <c r="E830" i="4"/>
  <c r="A830" i="4"/>
  <c r="K829" i="4"/>
  <c r="G829" i="4"/>
  <c r="E829" i="4"/>
  <c r="A829" i="4"/>
  <c r="K828" i="4"/>
  <c r="G828" i="4"/>
  <c r="E828" i="4"/>
  <c r="A828" i="4"/>
  <c r="L827" i="4"/>
  <c r="K827" i="4"/>
  <c r="G827" i="4"/>
  <c r="E827" i="4"/>
  <c r="A827" i="4"/>
  <c r="L826" i="4"/>
  <c r="K826" i="4"/>
  <c r="G826" i="4"/>
  <c r="E826" i="4"/>
  <c r="A826" i="4"/>
  <c r="L825" i="4"/>
  <c r="K825" i="4"/>
  <c r="G825" i="4"/>
  <c r="E825" i="4"/>
  <c r="A825" i="4"/>
  <c r="L824" i="4"/>
  <c r="K824" i="4"/>
  <c r="G824" i="4"/>
  <c r="E824" i="4"/>
  <c r="A824" i="4"/>
  <c r="L823" i="4"/>
  <c r="K823" i="4"/>
  <c r="G823" i="4"/>
  <c r="E823" i="4"/>
  <c r="A823" i="4"/>
  <c r="L822" i="4"/>
  <c r="K822" i="4"/>
  <c r="G822" i="4"/>
  <c r="E822" i="4"/>
  <c r="A822" i="4"/>
  <c r="K821" i="4"/>
  <c r="G821" i="4"/>
  <c r="E821" i="4"/>
  <c r="A821" i="4"/>
  <c r="K820" i="4"/>
  <c r="G820" i="4"/>
  <c r="E820" i="4"/>
  <c r="A820" i="4"/>
  <c r="L819" i="4"/>
  <c r="K819" i="4"/>
  <c r="G819" i="4"/>
  <c r="E819" i="4"/>
  <c r="A819" i="4"/>
  <c r="L818" i="4"/>
  <c r="K818" i="4"/>
  <c r="G818" i="4"/>
  <c r="E818" i="4"/>
  <c r="A818" i="4"/>
  <c r="L817" i="4"/>
  <c r="K817" i="4"/>
  <c r="G817" i="4"/>
  <c r="E817" i="4"/>
  <c r="A817" i="4"/>
  <c r="L816" i="4"/>
  <c r="K816" i="4"/>
  <c r="G816" i="4"/>
  <c r="E816" i="4"/>
  <c r="A816" i="4"/>
  <c r="L815" i="4"/>
  <c r="K815" i="4"/>
  <c r="G815" i="4"/>
  <c r="E815" i="4"/>
  <c r="A815" i="4"/>
  <c r="L814" i="4"/>
  <c r="K814" i="4"/>
  <c r="G814" i="4"/>
  <c r="E814" i="4"/>
  <c r="A814" i="4"/>
  <c r="K813" i="4"/>
  <c r="E813" i="4"/>
  <c r="L812" i="4"/>
  <c r="K812" i="4"/>
  <c r="E812" i="4"/>
  <c r="L811" i="4"/>
  <c r="K811" i="4"/>
  <c r="E811" i="4"/>
  <c r="L810" i="4"/>
  <c r="K810" i="4"/>
  <c r="E810" i="4"/>
  <c r="L809" i="4"/>
  <c r="K809" i="4"/>
  <c r="E809" i="4"/>
  <c r="K808" i="4"/>
  <c r="E808" i="4"/>
  <c r="L807" i="4"/>
  <c r="K807" i="4"/>
  <c r="E807" i="4"/>
  <c r="L806" i="4"/>
  <c r="K806" i="4"/>
  <c r="E806" i="4"/>
  <c r="L805" i="4"/>
  <c r="K805" i="4"/>
  <c r="E805" i="4"/>
  <c r="L804" i="4"/>
  <c r="K804" i="4"/>
  <c r="M800" i="4"/>
  <c r="M799" i="4"/>
  <c r="M798" i="4"/>
  <c r="L798" i="4"/>
  <c r="K798" i="4"/>
  <c r="J798" i="4"/>
  <c r="E798" i="4"/>
  <c r="D798" i="4"/>
  <c r="K797" i="4"/>
  <c r="G797" i="4"/>
  <c r="E797" i="4"/>
  <c r="A797" i="4"/>
  <c r="L796" i="4"/>
  <c r="K796" i="4"/>
  <c r="G796" i="4"/>
  <c r="E796" i="4"/>
  <c r="A796" i="4"/>
  <c r="M795" i="4"/>
  <c r="L795" i="4"/>
  <c r="K795" i="4"/>
  <c r="G795" i="4"/>
  <c r="E795" i="4"/>
  <c r="A795" i="4"/>
  <c r="L794" i="4"/>
  <c r="K794" i="4"/>
  <c r="G794" i="4"/>
  <c r="E794" i="4"/>
  <c r="A794" i="4"/>
  <c r="K793" i="4"/>
  <c r="G793" i="4"/>
  <c r="E793" i="4"/>
  <c r="A793" i="4"/>
  <c r="K792" i="4"/>
  <c r="G792" i="4"/>
  <c r="E792" i="4"/>
  <c r="A792" i="4"/>
  <c r="L791" i="4"/>
  <c r="K791" i="4"/>
  <c r="G791" i="4"/>
  <c r="E791" i="4"/>
  <c r="A791" i="4"/>
  <c r="L790" i="4"/>
  <c r="K790" i="4"/>
  <c r="G790" i="4"/>
  <c r="E790" i="4"/>
  <c r="A790" i="4"/>
  <c r="K789" i="4"/>
  <c r="G789" i="4"/>
  <c r="E789" i="4"/>
  <c r="A789" i="4"/>
  <c r="K788" i="4"/>
  <c r="G788" i="4"/>
  <c r="E788" i="4"/>
  <c r="A788" i="4"/>
  <c r="L787" i="4"/>
  <c r="K787" i="4"/>
  <c r="G787" i="4"/>
  <c r="E787" i="4"/>
  <c r="A787" i="4"/>
  <c r="L786" i="4"/>
  <c r="K786" i="4"/>
  <c r="G786" i="4"/>
  <c r="E786" i="4"/>
  <c r="A786" i="4"/>
  <c r="K785" i="4"/>
  <c r="G785" i="4"/>
  <c r="E785" i="4"/>
  <c r="A785" i="4"/>
  <c r="L784" i="4"/>
  <c r="K784" i="4"/>
  <c r="G784" i="4"/>
  <c r="E784" i="4"/>
  <c r="A784" i="4"/>
  <c r="K783" i="4"/>
  <c r="G783" i="4"/>
  <c r="E783" i="4"/>
  <c r="A783" i="4"/>
  <c r="L782" i="4"/>
  <c r="K782" i="4"/>
  <c r="G782" i="4"/>
  <c r="E782" i="4"/>
  <c r="A782" i="4"/>
  <c r="K781" i="4"/>
  <c r="G781" i="4"/>
  <c r="E781" i="4"/>
  <c r="A781" i="4"/>
  <c r="L780" i="4"/>
  <c r="K780" i="4"/>
  <c r="G780" i="4"/>
  <c r="E780" i="4"/>
  <c r="A780" i="4"/>
  <c r="L779" i="4"/>
  <c r="K779" i="4"/>
  <c r="G779" i="4"/>
  <c r="E779" i="4"/>
  <c r="A779" i="4"/>
  <c r="L778" i="4"/>
  <c r="K778" i="4"/>
  <c r="G778" i="4"/>
  <c r="E778" i="4"/>
  <c r="A778" i="4"/>
  <c r="L777" i="4"/>
  <c r="K777" i="4"/>
  <c r="G777" i="4"/>
  <c r="E777" i="4"/>
  <c r="A777" i="4"/>
  <c r="L776" i="4"/>
  <c r="K776" i="4"/>
  <c r="G776" i="4"/>
  <c r="E776" i="4"/>
  <c r="A776" i="4"/>
  <c r="L775" i="4"/>
  <c r="K775" i="4"/>
  <c r="G775" i="4"/>
  <c r="E775" i="4"/>
  <c r="A775" i="4"/>
  <c r="L774" i="4"/>
  <c r="K774" i="4"/>
  <c r="G774" i="4"/>
  <c r="E774" i="4"/>
  <c r="A774" i="4"/>
  <c r="L773" i="4"/>
  <c r="K773" i="4"/>
  <c r="G773" i="4"/>
  <c r="E773" i="4"/>
  <c r="A773" i="4"/>
  <c r="L772" i="4"/>
  <c r="K772" i="4"/>
  <c r="G772" i="4"/>
  <c r="E772" i="4"/>
  <c r="A772" i="4"/>
  <c r="L771" i="4"/>
  <c r="K771" i="4"/>
  <c r="G771" i="4"/>
  <c r="E771" i="4"/>
  <c r="A771" i="4"/>
  <c r="K770" i="4"/>
  <c r="G770" i="4"/>
  <c r="E770" i="4"/>
  <c r="A770" i="4"/>
  <c r="L769" i="4"/>
  <c r="K769" i="4"/>
  <c r="G769" i="4"/>
  <c r="E769" i="4"/>
  <c r="A769" i="4"/>
  <c r="L768" i="4"/>
  <c r="K768" i="4"/>
  <c r="G768" i="4"/>
  <c r="E768" i="4"/>
  <c r="A768" i="4"/>
  <c r="L767" i="4"/>
  <c r="K767" i="4"/>
  <c r="G767" i="4"/>
  <c r="E767" i="4"/>
  <c r="A767" i="4"/>
  <c r="K766" i="4"/>
  <c r="G766" i="4"/>
  <c r="E766" i="4"/>
  <c r="A766" i="4"/>
  <c r="L765" i="4"/>
  <c r="K765" i="4"/>
  <c r="G765" i="4"/>
  <c r="E765" i="4"/>
  <c r="A765" i="4"/>
  <c r="L764" i="4"/>
  <c r="K764" i="4"/>
  <c r="G764" i="4"/>
  <c r="E764" i="4"/>
  <c r="A764" i="4"/>
  <c r="K763" i="4"/>
  <c r="G763" i="4"/>
  <c r="E763" i="4"/>
  <c r="A763" i="4"/>
  <c r="K762" i="4"/>
  <c r="G762" i="4"/>
  <c r="E762" i="4"/>
  <c r="A762" i="4"/>
  <c r="L761" i="4"/>
  <c r="K761" i="4"/>
  <c r="G761" i="4"/>
  <c r="E761" i="4"/>
  <c r="A761" i="4"/>
  <c r="K760" i="4"/>
  <c r="G760" i="4"/>
  <c r="E760" i="4"/>
  <c r="A760" i="4"/>
  <c r="K759" i="4"/>
  <c r="G759" i="4"/>
  <c r="E759" i="4"/>
  <c r="A759" i="4"/>
  <c r="K758" i="4"/>
  <c r="G758" i="4"/>
  <c r="E758" i="4"/>
  <c r="A758" i="4"/>
  <c r="L757" i="4"/>
  <c r="K757" i="4"/>
  <c r="G757" i="4"/>
  <c r="E757" i="4"/>
  <c r="A757" i="4"/>
  <c r="K756" i="4"/>
  <c r="G756" i="4"/>
  <c r="E756" i="4"/>
  <c r="A756" i="4"/>
  <c r="L755" i="4"/>
  <c r="K755" i="4"/>
  <c r="G755" i="4"/>
  <c r="E755" i="4"/>
  <c r="A755" i="4"/>
  <c r="L754" i="4"/>
  <c r="K754" i="4"/>
  <c r="G754" i="4"/>
  <c r="E754" i="4"/>
  <c r="A754" i="4"/>
  <c r="L753" i="4"/>
  <c r="K753" i="4"/>
  <c r="G753" i="4"/>
  <c r="E753" i="4"/>
  <c r="A753" i="4"/>
  <c r="K752" i="4"/>
  <c r="G752" i="4"/>
  <c r="E752" i="4"/>
  <c r="A752" i="4"/>
  <c r="K751" i="4"/>
  <c r="G751" i="4"/>
  <c r="E751" i="4"/>
  <c r="A751" i="4"/>
  <c r="L750" i="4"/>
  <c r="K750" i="4"/>
  <c r="G750" i="4"/>
  <c r="E750" i="4"/>
  <c r="A750" i="4"/>
  <c r="L749" i="4"/>
  <c r="K749" i="4"/>
  <c r="G749" i="4"/>
  <c r="E749" i="4"/>
  <c r="A749" i="4"/>
  <c r="L748" i="4"/>
  <c r="K748" i="4"/>
  <c r="G748" i="4"/>
  <c r="E748" i="4"/>
  <c r="A748" i="4"/>
  <c r="K747" i="4"/>
  <c r="G747" i="4"/>
  <c r="E747" i="4"/>
  <c r="A747" i="4"/>
  <c r="L746" i="4"/>
  <c r="K746" i="4"/>
  <c r="E746" i="4"/>
  <c r="M745" i="4"/>
  <c r="M744" i="4"/>
  <c r="M743" i="4"/>
  <c r="M742" i="4"/>
  <c r="L741" i="4"/>
  <c r="K741" i="4"/>
  <c r="J741" i="4"/>
  <c r="E741" i="4"/>
  <c r="D741" i="4"/>
  <c r="L740" i="4"/>
  <c r="K740" i="4"/>
  <c r="G740" i="4"/>
  <c r="E740" i="4"/>
  <c r="A740" i="4"/>
  <c r="L739" i="4"/>
  <c r="K739" i="4"/>
  <c r="G739" i="4"/>
  <c r="E739" i="4"/>
  <c r="A739" i="4"/>
  <c r="K738" i="4"/>
  <c r="G738" i="4"/>
  <c r="E738" i="4"/>
  <c r="A738" i="4"/>
  <c r="K737" i="4"/>
  <c r="G737" i="4"/>
  <c r="E737" i="4"/>
  <c r="A737" i="4"/>
  <c r="L736" i="4"/>
  <c r="K736" i="4"/>
  <c r="G736" i="4"/>
  <c r="E736" i="4"/>
  <c r="A736" i="4"/>
  <c r="L735" i="4"/>
  <c r="K735" i="4"/>
  <c r="G735" i="4"/>
  <c r="E735" i="4"/>
  <c r="A735" i="4"/>
  <c r="L734" i="4"/>
  <c r="K734" i="4"/>
  <c r="G734" i="4"/>
  <c r="E734" i="4"/>
  <c r="A734" i="4"/>
  <c r="K733" i="4"/>
  <c r="G733" i="4"/>
  <c r="E733" i="4"/>
  <c r="A733" i="4"/>
  <c r="K732" i="4"/>
  <c r="G732" i="4"/>
  <c r="E732" i="4"/>
  <c r="A732" i="4"/>
  <c r="L731" i="4"/>
  <c r="K731" i="4"/>
  <c r="G731" i="4"/>
  <c r="E731" i="4"/>
  <c r="A731" i="4"/>
  <c r="L730" i="4"/>
  <c r="K730" i="4"/>
  <c r="G730" i="4"/>
  <c r="E730" i="4"/>
  <c r="A730" i="4"/>
  <c r="L729" i="4"/>
  <c r="K729" i="4"/>
  <c r="G729" i="4"/>
  <c r="E729" i="4"/>
  <c r="A729" i="4"/>
  <c r="L728" i="4"/>
  <c r="K728" i="4"/>
  <c r="G728" i="4"/>
  <c r="E728" i="4"/>
  <c r="A728" i="4"/>
  <c r="L727" i="4"/>
  <c r="K727" i="4"/>
  <c r="G727" i="4"/>
  <c r="E727" i="4"/>
  <c r="A727" i="4"/>
  <c r="K726" i="4"/>
  <c r="G726" i="4"/>
  <c r="E726" i="4"/>
  <c r="A726" i="4"/>
  <c r="L725" i="4"/>
  <c r="K725" i="4"/>
  <c r="G725" i="4"/>
  <c r="E725" i="4"/>
  <c r="A725" i="4"/>
  <c r="L724" i="4"/>
  <c r="K724" i="4"/>
  <c r="G724" i="4"/>
  <c r="E724" i="4"/>
  <c r="A724" i="4"/>
  <c r="L723" i="4"/>
  <c r="K723" i="4"/>
  <c r="G723" i="4"/>
  <c r="E723" i="4"/>
  <c r="A723" i="4"/>
  <c r="K722" i="4"/>
  <c r="G722" i="4"/>
  <c r="E722" i="4"/>
  <c r="A722" i="4"/>
  <c r="L721" i="4"/>
  <c r="K721" i="4"/>
  <c r="G721" i="4"/>
  <c r="E721" i="4"/>
  <c r="A721" i="4"/>
  <c r="K720" i="4"/>
  <c r="G720" i="4"/>
  <c r="E720" i="4"/>
  <c r="A720" i="4"/>
  <c r="K719" i="4"/>
  <c r="G719" i="4"/>
  <c r="E719" i="4"/>
  <c r="A719" i="4"/>
  <c r="L718" i="4"/>
  <c r="K718" i="4"/>
  <c r="G718" i="4"/>
  <c r="E718" i="4"/>
  <c r="A718" i="4"/>
  <c r="L717" i="4"/>
  <c r="K717" i="4"/>
  <c r="G717" i="4"/>
  <c r="E717" i="4"/>
  <c r="A717" i="4"/>
  <c r="L716" i="4"/>
  <c r="K716" i="4"/>
  <c r="G716" i="4"/>
  <c r="E716" i="4"/>
  <c r="A716" i="4"/>
  <c r="K715" i="4"/>
  <c r="G715" i="4"/>
  <c r="E715" i="4"/>
  <c r="A715" i="4"/>
  <c r="K714" i="4"/>
  <c r="G714" i="4"/>
  <c r="E714" i="4"/>
  <c r="A714" i="4"/>
  <c r="K713" i="4"/>
  <c r="G713" i="4"/>
  <c r="E713" i="4"/>
  <c r="A713" i="4"/>
  <c r="L712" i="4"/>
  <c r="K712" i="4"/>
  <c r="G712" i="4"/>
  <c r="E712" i="4"/>
  <c r="A712" i="4"/>
  <c r="L711" i="4"/>
  <c r="K711" i="4"/>
  <c r="G711" i="4"/>
  <c r="E711" i="4"/>
  <c r="A711" i="4"/>
  <c r="L710" i="4"/>
  <c r="K710" i="4"/>
  <c r="G710" i="4"/>
  <c r="E710" i="4"/>
  <c r="A710" i="4"/>
  <c r="L709" i="4"/>
  <c r="K709" i="4"/>
  <c r="G709" i="4"/>
  <c r="E709" i="4"/>
  <c r="A709" i="4"/>
  <c r="K708" i="4"/>
  <c r="G708" i="4"/>
  <c r="E708" i="4"/>
  <c r="A708" i="4"/>
  <c r="K707" i="4"/>
  <c r="G707" i="4"/>
  <c r="E707" i="4"/>
  <c r="A707" i="4"/>
  <c r="K706" i="4"/>
  <c r="G706" i="4"/>
  <c r="E706" i="4"/>
  <c r="A706" i="4"/>
  <c r="K705" i="4"/>
  <c r="G705" i="4"/>
  <c r="E705" i="4"/>
  <c r="A705" i="4"/>
  <c r="K704" i="4"/>
  <c r="G704" i="4"/>
  <c r="E704" i="4"/>
  <c r="A704" i="4"/>
  <c r="K703" i="4"/>
  <c r="G703" i="4"/>
  <c r="E703" i="4"/>
  <c r="A703" i="4"/>
  <c r="L702" i="4"/>
  <c r="K702" i="4"/>
  <c r="G702" i="4"/>
  <c r="E702" i="4"/>
  <c r="A702" i="4"/>
  <c r="K701" i="4"/>
  <c r="G701" i="4"/>
  <c r="E701" i="4"/>
  <c r="A701" i="4"/>
  <c r="L700" i="4"/>
  <c r="K700" i="4"/>
  <c r="G700" i="4"/>
  <c r="E700" i="4"/>
  <c r="A700" i="4"/>
  <c r="K699" i="4"/>
  <c r="G699" i="4"/>
  <c r="E699" i="4"/>
  <c r="A699" i="4"/>
  <c r="L698" i="4"/>
  <c r="K698" i="4"/>
  <c r="G698" i="4"/>
  <c r="E698" i="4"/>
  <c r="A698" i="4"/>
  <c r="L697" i="4"/>
  <c r="K697" i="4"/>
  <c r="G697" i="4"/>
  <c r="E697" i="4"/>
  <c r="A697" i="4"/>
  <c r="K696" i="4"/>
  <c r="G696" i="4"/>
  <c r="E696" i="4"/>
  <c r="A696" i="4"/>
  <c r="L695" i="4"/>
  <c r="K695" i="4"/>
  <c r="G695" i="4"/>
  <c r="E695" i="4"/>
  <c r="A695" i="4"/>
  <c r="K694" i="4"/>
  <c r="G694" i="4"/>
  <c r="E694" i="4"/>
  <c r="A694" i="4"/>
  <c r="L693" i="4"/>
  <c r="K693" i="4"/>
  <c r="G693" i="4"/>
  <c r="E693" i="4"/>
  <c r="A693" i="4"/>
  <c r="L692" i="4"/>
  <c r="K692" i="4"/>
  <c r="G692" i="4"/>
  <c r="E692" i="4"/>
  <c r="A692" i="4"/>
  <c r="L691" i="4"/>
  <c r="K691" i="4"/>
  <c r="G691" i="4"/>
  <c r="E691" i="4"/>
  <c r="A691" i="4"/>
  <c r="K690" i="4"/>
  <c r="G690" i="4"/>
  <c r="E690" i="4"/>
  <c r="A690" i="4"/>
  <c r="L689" i="4"/>
  <c r="K689" i="4"/>
  <c r="G689" i="4"/>
  <c r="E689" i="4"/>
  <c r="A689" i="4"/>
  <c r="L688" i="4"/>
  <c r="K688" i="4"/>
  <c r="G688" i="4"/>
  <c r="E688" i="4"/>
  <c r="A688" i="4"/>
  <c r="L687" i="4"/>
  <c r="K687" i="4"/>
  <c r="G687" i="4"/>
  <c r="E687" i="4"/>
  <c r="A687" i="4"/>
  <c r="L686" i="4"/>
  <c r="K686" i="4"/>
  <c r="G686" i="4"/>
  <c r="E686" i="4"/>
  <c r="A686" i="4"/>
  <c r="L685" i="4"/>
  <c r="K685" i="4"/>
  <c r="G685" i="4"/>
  <c r="E685" i="4"/>
  <c r="A685" i="4"/>
  <c r="L684" i="4"/>
  <c r="K684" i="4"/>
  <c r="G684" i="4"/>
  <c r="E684" i="4"/>
  <c r="A684" i="4"/>
  <c r="L683" i="4"/>
  <c r="K683" i="4"/>
  <c r="G683" i="4"/>
  <c r="E683" i="4"/>
  <c r="A683" i="4"/>
  <c r="K682" i="4"/>
  <c r="G682" i="4"/>
  <c r="E682" i="4"/>
  <c r="A682" i="4"/>
  <c r="K681" i="4"/>
  <c r="G681" i="4"/>
  <c r="E681" i="4"/>
  <c r="A681" i="4"/>
  <c r="L680" i="4"/>
  <c r="K680" i="4"/>
  <c r="G680" i="4"/>
  <c r="E680" i="4"/>
  <c r="A680" i="4"/>
  <c r="L679" i="4"/>
  <c r="K679" i="4"/>
  <c r="G679" i="4"/>
  <c r="E679" i="4"/>
  <c r="A679" i="4"/>
  <c r="L678" i="4"/>
  <c r="K678" i="4"/>
  <c r="G678" i="4"/>
  <c r="E678" i="4"/>
  <c r="A678" i="4"/>
  <c r="K677" i="4"/>
  <c r="G677" i="4"/>
  <c r="E677" i="4"/>
  <c r="A677" i="4"/>
  <c r="L676" i="4"/>
  <c r="K676" i="4"/>
  <c r="G676" i="4"/>
  <c r="E676" i="4"/>
  <c r="A676" i="4"/>
  <c r="K675" i="4"/>
  <c r="G675" i="4"/>
  <c r="E675" i="4"/>
  <c r="A675" i="4"/>
  <c r="K674" i="4"/>
  <c r="G674" i="4"/>
  <c r="E674" i="4"/>
  <c r="A674" i="4"/>
  <c r="L673" i="4"/>
  <c r="K673" i="4"/>
  <c r="G673" i="4"/>
  <c r="E673" i="4"/>
  <c r="A673" i="4"/>
  <c r="K672" i="4"/>
  <c r="G672" i="4"/>
  <c r="E672" i="4"/>
  <c r="A672" i="4"/>
  <c r="K671" i="4"/>
  <c r="E671" i="4"/>
  <c r="L670" i="4"/>
  <c r="K670" i="4"/>
  <c r="E670" i="4"/>
  <c r="L669" i="4"/>
  <c r="K669" i="4"/>
  <c r="E669" i="4"/>
  <c r="K668" i="4"/>
  <c r="E668" i="4"/>
  <c r="K667" i="4"/>
  <c r="E667" i="4"/>
  <c r="L666" i="4"/>
  <c r="K666" i="4"/>
  <c r="E666" i="4"/>
  <c r="L665" i="4"/>
  <c r="K665" i="4"/>
  <c r="E665" i="4"/>
  <c r="K664" i="4"/>
  <c r="E664" i="4"/>
  <c r="L663" i="4"/>
  <c r="K663" i="4"/>
  <c r="E663" i="4"/>
  <c r="L662" i="4"/>
  <c r="K662" i="4"/>
  <c r="E662" i="4"/>
  <c r="L661" i="4"/>
  <c r="K661" i="4"/>
  <c r="E661" i="4"/>
  <c r="L660" i="4"/>
  <c r="K660" i="4"/>
  <c r="E660" i="4"/>
  <c r="K659" i="4"/>
  <c r="E659" i="4"/>
  <c r="L658" i="4"/>
  <c r="K658" i="4"/>
  <c r="E658" i="4"/>
  <c r="L657" i="4"/>
  <c r="K657" i="4"/>
  <c r="E657" i="4"/>
  <c r="L656" i="4"/>
  <c r="K656" i="4"/>
  <c r="E656" i="4"/>
  <c r="L655" i="4"/>
  <c r="K655" i="4"/>
  <c r="E655" i="4"/>
  <c r="L654" i="4"/>
  <c r="K654" i="4"/>
  <c r="E654" i="4"/>
  <c r="K653" i="4"/>
  <c r="E653" i="4"/>
  <c r="L652" i="4"/>
  <c r="K652" i="4"/>
  <c r="E652" i="4"/>
  <c r="L651" i="4"/>
  <c r="K651" i="4"/>
  <c r="E651" i="4"/>
  <c r="L650" i="4"/>
  <c r="K650" i="4"/>
  <c r="E650" i="4"/>
  <c r="L649" i="4"/>
  <c r="K649" i="4"/>
  <c r="E649" i="4"/>
  <c r="L648" i="4"/>
  <c r="K648" i="4"/>
  <c r="E648" i="4"/>
  <c r="K647" i="4"/>
  <c r="E647" i="4"/>
  <c r="L646" i="4"/>
  <c r="K646" i="4"/>
  <c r="E646" i="4"/>
  <c r="L645" i="4"/>
  <c r="K645" i="4"/>
  <c r="E645" i="4"/>
  <c r="L644" i="4"/>
  <c r="K644" i="4"/>
  <c r="E644" i="4"/>
  <c r="L643" i="4"/>
  <c r="K643" i="4"/>
  <c r="E643" i="4"/>
  <c r="M640" i="4"/>
  <c r="M639" i="4"/>
  <c r="M638" i="4"/>
  <c r="L638" i="4"/>
  <c r="K638" i="4"/>
  <c r="J638" i="4"/>
  <c r="E638" i="4"/>
  <c r="D638" i="4"/>
  <c r="K637" i="4"/>
  <c r="G637" i="4"/>
  <c r="E637" i="4"/>
  <c r="A637" i="4"/>
  <c r="L636" i="4"/>
  <c r="K636" i="4"/>
  <c r="G636" i="4"/>
  <c r="E636" i="4"/>
  <c r="A636" i="4"/>
  <c r="M635" i="4"/>
  <c r="L635" i="4"/>
  <c r="K635" i="4"/>
  <c r="G635" i="4"/>
  <c r="E635" i="4"/>
  <c r="A635" i="4"/>
  <c r="L634" i="4"/>
  <c r="K634" i="4"/>
  <c r="G634" i="4"/>
  <c r="E634" i="4"/>
  <c r="A634" i="4"/>
  <c r="K633" i="4"/>
  <c r="G633" i="4"/>
  <c r="E633" i="4"/>
  <c r="A633" i="4"/>
  <c r="K632" i="4"/>
  <c r="G632" i="4"/>
  <c r="E632" i="4"/>
  <c r="A632" i="4"/>
  <c r="L631" i="4"/>
  <c r="K631" i="4"/>
  <c r="G631" i="4"/>
  <c r="E631" i="4"/>
  <c r="A631" i="4"/>
  <c r="L630" i="4"/>
  <c r="K630" i="4"/>
  <c r="G630" i="4"/>
  <c r="E630" i="4"/>
  <c r="A630" i="4"/>
  <c r="K629" i="4"/>
  <c r="G629" i="4"/>
  <c r="E629" i="4"/>
  <c r="A629" i="4"/>
  <c r="K628" i="4"/>
  <c r="G628" i="4"/>
  <c r="E628" i="4"/>
  <c r="A628" i="4"/>
  <c r="L627" i="4"/>
  <c r="K627" i="4"/>
  <c r="G627" i="4"/>
  <c r="E627" i="4"/>
  <c r="A627" i="4"/>
  <c r="L626" i="4"/>
  <c r="K626" i="4"/>
  <c r="G626" i="4"/>
  <c r="E626" i="4"/>
  <c r="A626" i="4"/>
  <c r="K625" i="4"/>
  <c r="G625" i="4"/>
  <c r="E625" i="4"/>
  <c r="A625" i="4"/>
  <c r="L624" i="4"/>
  <c r="K624" i="4"/>
  <c r="G624" i="4"/>
  <c r="E624" i="4"/>
  <c r="A624" i="4"/>
  <c r="K623" i="4"/>
  <c r="G623" i="4"/>
  <c r="E623" i="4"/>
  <c r="A623" i="4"/>
  <c r="L622" i="4"/>
  <c r="K622" i="4"/>
  <c r="G622" i="4"/>
  <c r="E622" i="4"/>
  <c r="A622" i="4"/>
  <c r="K621" i="4"/>
  <c r="G621" i="4"/>
  <c r="E621" i="4"/>
  <c r="A621" i="4"/>
  <c r="L620" i="4"/>
  <c r="K620" i="4"/>
  <c r="G620" i="4"/>
  <c r="E620" i="4"/>
  <c r="A620" i="4"/>
  <c r="L619" i="4"/>
  <c r="K619" i="4"/>
  <c r="G619" i="4"/>
  <c r="E619" i="4"/>
  <c r="A619" i="4"/>
  <c r="L618" i="4"/>
  <c r="K618" i="4"/>
  <c r="G618" i="4"/>
  <c r="E618" i="4"/>
  <c r="A618" i="4"/>
  <c r="L617" i="4"/>
  <c r="K617" i="4"/>
  <c r="G617" i="4"/>
  <c r="E617" i="4"/>
  <c r="A617" i="4"/>
  <c r="L616" i="4"/>
  <c r="K616" i="4"/>
  <c r="G616" i="4"/>
  <c r="E616" i="4"/>
  <c r="A616" i="4"/>
  <c r="L615" i="4"/>
  <c r="K615" i="4"/>
  <c r="G615" i="4"/>
  <c r="E615" i="4"/>
  <c r="A615" i="4"/>
  <c r="L614" i="4"/>
  <c r="K614" i="4"/>
  <c r="G614" i="4"/>
  <c r="E614" i="4"/>
  <c r="A614" i="4"/>
  <c r="L613" i="4"/>
  <c r="K613" i="4"/>
  <c r="G613" i="4"/>
  <c r="E613" i="4"/>
  <c r="A613" i="4"/>
  <c r="L612" i="4"/>
  <c r="K612" i="4"/>
  <c r="G612" i="4"/>
  <c r="E612" i="4"/>
  <c r="A612" i="4"/>
  <c r="L611" i="4"/>
  <c r="K611" i="4"/>
  <c r="G611" i="4"/>
  <c r="E611" i="4"/>
  <c r="A611" i="4"/>
  <c r="K610" i="4"/>
  <c r="G610" i="4"/>
  <c r="E610" i="4"/>
  <c r="A610" i="4"/>
  <c r="L609" i="4"/>
  <c r="K609" i="4"/>
  <c r="G609" i="4"/>
  <c r="E609" i="4"/>
  <c r="A609" i="4"/>
  <c r="L608" i="4"/>
  <c r="K608" i="4"/>
  <c r="G608" i="4"/>
  <c r="E608" i="4"/>
  <c r="A608" i="4"/>
  <c r="L607" i="4"/>
  <c r="K607" i="4"/>
  <c r="G607" i="4"/>
  <c r="E607" i="4"/>
  <c r="A607" i="4"/>
  <c r="K606" i="4"/>
  <c r="G606" i="4"/>
  <c r="E606" i="4"/>
  <c r="A606" i="4"/>
  <c r="L605" i="4"/>
  <c r="K605" i="4"/>
  <c r="G605" i="4"/>
  <c r="E605" i="4"/>
  <c r="A605" i="4"/>
  <c r="L604" i="4"/>
  <c r="K604" i="4"/>
  <c r="G604" i="4"/>
  <c r="E604" i="4"/>
  <c r="A604" i="4"/>
  <c r="K603" i="4"/>
  <c r="G603" i="4"/>
  <c r="E603" i="4"/>
  <c r="A603" i="4"/>
  <c r="K602" i="4"/>
  <c r="G602" i="4"/>
  <c r="E602" i="4"/>
  <c r="A602" i="4"/>
  <c r="L601" i="4"/>
  <c r="K601" i="4"/>
  <c r="G601" i="4"/>
  <c r="E601" i="4"/>
  <c r="A601" i="4"/>
  <c r="K600" i="4"/>
  <c r="G600" i="4"/>
  <c r="E600" i="4"/>
  <c r="A600" i="4"/>
  <c r="L599" i="4"/>
  <c r="K599" i="4"/>
  <c r="G599" i="4"/>
  <c r="E599" i="4"/>
  <c r="A599" i="4"/>
  <c r="K598" i="4"/>
  <c r="G598" i="4"/>
  <c r="E598" i="4"/>
  <c r="A598" i="4"/>
  <c r="L597" i="4"/>
  <c r="K597" i="4"/>
  <c r="G597" i="4"/>
  <c r="E597" i="4"/>
  <c r="A597" i="4"/>
  <c r="K596" i="4"/>
  <c r="G596" i="4"/>
  <c r="E596" i="4"/>
  <c r="A596" i="4"/>
  <c r="L595" i="4"/>
  <c r="K595" i="4"/>
  <c r="G595" i="4"/>
  <c r="E595" i="4"/>
  <c r="A595" i="4"/>
  <c r="L594" i="4"/>
  <c r="K594" i="4"/>
  <c r="G594" i="4"/>
  <c r="E594" i="4"/>
  <c r="A594" i="4"/>
  <c r="L593" i="4"/>
  <c r="K593" i="4"/>
  <c r="G593" i="4"/>
  <c r="E593" i="4"/>
  <c r="A593" i="4"/>
  <c r="K592" i="4"/>
  <c r="G592" i="4"/>
  <c r="E592" i="4"/>
  <c r="A592" i="4"/>
  <c r="K591" i="4"/>
  <c r="G591" i="4"/>
  <c r="E591" i="4"/>
  <c r="A591" i="4"/>
  <c r="L590" i="4"/>
  <c r="K590" i="4"/>
  <c r="G590" i="4"/>
  <c r="E590" i="4"/>
  <c r="A590" i="4"/>
  <c r="L589" i="4"/>
  <c r="K589" i="4"/>
  <c r="G589" i="4"/>
  <c r="E589" i="4"/>
  <c r="A589" i="4"/>
  <c r="K588" i="4"/>
  <c r="G588" i="4"/>
  <c r="E588" i="4"/>
  <c r="A588" i="4"/>
  <c r="K587" i="4"/>
  <c r="G587" i="4"/>
  <c r="E587" i="4"/>
  <c r="A587" i="4"/>
  <c r="L586" i="4"/>
  <c r="K586" i="4"/>
  <c r="E586" i="4"/>
  <c r="M585" i="4"/>
  <c r="M584" i="4"/>
  <c r="M583" i="4"/>
  <c r="M582" i="4"/>
  <c r="L581" i="4"/>
  <c r="K581" i="4"/>
  <c r="J581" i="4"/>
  <c r="E581" i="4"/>
  <c r="D581" i="4"/>
  <c r="L580" i="4"/>
  <c r="K580" i="4"/>
  <c r="G580" i="4"/>
  <c r="E580" i="4"/>
  <c r="A580" i="4"/>
  <c r="K579" i="4"/>
  <c r="G579" i="4"/>
  <c r="E579" i="4"/>
  <c r="A579" i="4"/>
  <c r="K578" i="4"/>
  <c r="G578" i="4"/>
  <c r="E578" i="4"/>
  <c r="A578" i="4"/>
  <c r="K577" i="4"/>
  <c r="G577" i="4"/>
  <c r="E577" i="4"/>
  <c r="A577" i="4"/>
  <c r="L576" i="4"/>
  <c r="K576" i="4"/>
  <c r="G576" i="4"/>
  <c r="E576" i="4"/>
  <c r="A576" i="4"/>
  <c r="L575" i="4"/>
  <c r="K575" i="4"/>
  <c r="G575" i="4"/>
  <c r="E575" i="4"/>
  <c r="A575" i="4"/>
  <c r="L574" i="4"/>
  <c r="K574" i="4"/>
  <c r="G574" i="4"/>
  <c r="E574" i="4"/>
  <c r="A574" i="4"/>
  <c r="K573" i="4"/>
  <c r="G573" i="4"/>
  <c r="E573" i="4"/>
  <c r="A573" i="4"/>
  <c r="K572" i="4"/>
  <c r="G572" i="4"/>
  <c r="E572" i="4"/>
  <c r="A572" i="4"/>
  <c r="L571" i="4"/>
  <c r="K571" i="4"/>
  <c r="G571" i="4"/>
  <c r="E571" i="4"/>
  <c r="A571" i="4"/>
  <c r="L570" i="4"/>
  <c r="K570" i="4"/>
  <c r="G570" i="4"/>
  <c r="E570" i="4"/>
  <c r="A570" i="4"/>
  <c r="L569" i="4"/>
  <c r="K569" i="4"/>
  <c r="G569" i="4"/>
  <c r="E569" i="4"/>
  <c r="A569" i="4"/>
  <c r="L568" i="4"/>
  <c r="K568" i="4"/>
  <c r="G568" i="4"/>
  <c r="E568" i="4"/>
  <c r="A568" i="4"/>
  <c r="L567" i="4"/>
  <c r="K567" i="4"/>
  <c r="G567" i="4"/>
  <c r="E567" i="4"/>
  <c r="A567" i="4"/>
  <c r="K566" i="4"/>
  <c r="G566" i="4"/>
  <c r="E566" i="4"/>
  <c r="A566" i="4"/>
  <c r="L565" i="4"/>
  <c r="K565" i="4"/>
  <c r="G565" i="4"/>
  <c r="E565" i="4"/>
  <c r="A565" i="4"/>
  <c r="K564" i="4"/>
  <c r="G564" i="4"/>
  <c r="E564" i="4"/>
  <c r="A564" i="4"/>
  <c r="L563" i="4"/>
  <c r="K563" i="4"/>
  <c r="G563" i="4"/>
  <c r="E563" i="4"/>
  <c r="A563" i="4"/>
  <c r="K562" i="4"/>
  <c r="G562" i="4"/>
  <c r="E562" i="4"/>
  <c r="A562" i="4"/>
  <c r="L561" i="4"/>
  <c r="K561" i="4"/>
  <c r="G561" i="4"/>
  <c r="E561" i="4"/>
  <c r="A561" i="4"/>
  <c r="K560" i="4"/>
  <c r="G560" i="4"/>
  <c r="E560" i="4"/>
  <c r="A560" i="4"/>
  <c r="K559" i="4"/>
  <c r="G559" i="4"/>
  <c r="E559" i="4"/>
  <c r="A559" i="4"/>
  <c r="L558" i="4"/>
  <c r="K558" i="4"/>
  <c r="G558" i="4"/>
  <c r="E558" i="4"/>
  <c r="A558" i="4"/>
  <c r="L557" i="4"/>
  <c r="K557" i="4"/>
  <c r="G557" i="4"/>
  <c r="E557" i="4"/>
  <c r="A557" i="4"/>
  <c r="L556" i="4"/>
  <c r="K556" i="4"/>
  <c r="G556" i="4"/>
  <c r="E556" i="4"/>
  <c r="A556" i="4"/>
  <c r="K555" i="4"/>
  <c r="G555" i="4"/>
  <c r="E555" i="4"/>
  <c r="A555" i="4"/>
  <c r="K554" i="4"/>
  <c r="G554" i="4"/>
  <c r="E554" i="4"/>
  <c r="A554" i="4"/>
  <c r="K553" i="4"/>
  <c r="G553" i="4"/>
  <c r="E553" i="4"/>
  <c r="A553" i="4"/>
  <c r="L552" i="4"/>
  <c r="K552" i="4"/>
  <c r="G552" i="4"/>
  <c r="E552" i="4"/>
  <c r="A552" i="4"/>
  <c r="L551" i="4"/>
  <c r="K551" i="4"/>
  <c r="G551" i="4"/>
  <c r="E551" i="4"/>
  <c r="A551" i="4"/>
  <c r="L550" i="4"/>
  <c r="K550" i="4"/>
  <c r="G550" i="4"/>
  <c r="E550" i="4"/>
  <c r="A550" i="4"/>
  <c r="L549" i="4"/>
  <c r="K549" i="4"/>
  <c r="G549" i="4"/>
  <c r="E549" i="4"/>
  <c r="A549" i="4"/>
  <c r="K548" i="4"/>
  <c r="G548" i="4"/>
  <c r="E548" i="4"/>
  <c r="A548" i="4"/>
  <c r="K547" i="4"/>
  <c r="G547" i="4"/>
  <c r="E547" i="4"/>
  <c r="A547" i="4"/>
  <c r="K546" i="4"/>
  <c r="G546" i="4"/>
  <c r="E546" i="4"/>
  <c r="A546" i="4"/>
  <c r="K545" i="4"/>
  <c r="G545" i="4"/>
  <c r="E545" i="4"/>
  <c r="A545" i="4"/>
  <c r="K544" i="4"/>
  <c r="G544" i="4"/>
  <c r="E544" i="4"/>
  <c r="A544" i="4"/>
  <c r="L543" i="4"/>
  <c r="K543" i="4"/>
  <c r="G543" i="4"/>
  <c r="E543" i="4"/>
  <c r="A543" i="4"/>
  <c r="L542" i="4"/>
  <c r="K542" i="4"/>
  <c r="G542" i="4"/>
  <c r="E542" i="4"/>
  <c r="A542" i="4"/>
  <c r="K541" i="4"/>
  <c r="G541" i="4"/>
  <c r="E541" i="4"/>
  <c r="A541" i="4"/>
  <c r="L540" i="4"/>
  <c r="K540" i="4"/>
  <c r="G540" i="4"/>
  <c r="E540" i="4"/>
  <c r="A540" i="4"/>
  <c r="K539" i="4"/>
  <c r="G539" i="4"/>
  <c r="E539" i="4"/>
  <c r="A539" i="4"/>
  <c r="L538" i="4"/>
  <c r="K538" i="4"/>
  <c r="G538" i="4"/>
  <c r="E538" i="4"/>
  <c r="A538" i="4"/>
  <c r="L537" i="4"/>
  <c r="K537" i="4"/>
  <c r="G537" i="4"/>
  <c r="E537" i="4"/>
  <c r="A537" i="4"/>
  <c r="K536" i="4"/>
  <c r="G536" i="4"/>
  <c r="E536" i="4"/>
  <c r="A536" i="4"/>
  <c r="L535" i="4"/>
  <c r="K535" i="4"/>
  <c r="G535" i="4"/>
  <c r="E535" i="4"/>
  <c r="A535" i="4"/>
  <c r="K534" i="4"/>
  <c r="G534" i="4"/>
  <c r="E534" i="4"/>
  <c r="A534" i="4"/>
  <c r="K533" i="4"/>
  <c r="G533" i="4"/>
  <c r="E533" i="4"/>
  <c r="A533" i="4"/>
  <c r="L532" i="4"/>
  <c r="K532" i="4"/>
  <c r="G532" i="4"/>
  <c r="E532" i="4"/>
  <c r="A532" i="4"/>
  <c r="L531" i="4"/>
  <c r="K531" i="4"/>
  <c r="G531" i="4"/>
  <c r="E531" i="4"/>
  <c r="A531" i="4"/>
  <c r="L530" i="4"/>
  <c r="K530" i="4"/>
  <c r="G530" i="4"/>
  <c r="E530" i="4"/>
  <c r="A530" i="4"/>
  <c r="L529" i="4"/>
  <c r="K529" i="4"/>
  <c r="G529" i="4"/>
  <c r="E529" i="4"/>
  <c r="A529" i="4"/>
  <c r="L528" i="4"/>
  <c r="K528" i="4"/>
  <c r="G528" i="4"/>
  <c r="E528" i="4"/>
  <c r="A528" i="4"/>
  <c r="L527" i="4"/>
  <c r="K527" i="4"/>
  <c r="G527" i="4"/>
  <c r="E527" i="4"/>
  <c r="A527" i="4"/>
  <c r="L526" i="4"/>
  <c r="K526" i="4"/>
  <c r="G526" i="4"/>
  <c r="E526" i="4"/>
  <c r="A526" i="4"/>
  <c r="L525" i="4"/>
  <c r="K525" i="4"/>
  <c r="G525" i="4"/>
  <c r="E525" i="4"/>
  <c r="A525" i="4"/>
  <c r="L524" i="4"/>
  <c r="K524" i="4"/>
  <c r="G524" i="4"/>
  <c r="E524" i="4"/>
  <c r="A524" i="4"/>
  <c r="L523" i="4"/>
  <c r="K523" i="4"/>
  <c r="G523" i="4"/>
  <c r="E523" i="4"/>
  <c r="A523" i="4"/>
  <c r="K522" i="4"/>
  <c r="G522" i="4"/>
  <c r="E522" i="4"/>
  <c r="A522" i="4"/>
  <c r="K521" i="4"/>
  <c r="G521" i="4"/>
  <c r="E521" i="4"/>
  <c r="A521" i="4"/>
  <c r="L520" i="4"/>
  <c r="K520" i="4"/>
  <c r="G520" i="4"/>
  <c r="E520" i="4"/>
  <c r="A520" i="4"/>
  <c r="L519" i="4"/>
  <c r="K519" i="4"/>
  <c r="G519" i="4"/>
  <c r="E519" i="4"/>
  <c r="A519" i="4"/>
  <c r="L518" i="4"/>
  <c r="K518" i="4"/>
  <c r="G518" i="4"/>
  <c r="E518" i="4"/>
  <c r="A518" i="4"/>
  <c r="K517" i="4"/>
  <c r="G517" i="4"/>
  <c r="E517" i="4"/>
  <c r="A517" i="4"/>
  <c r="L516" i="4"/>
  <c r="K516" i="4"/>
  <c r="G516" i="4"/>
  <c r="E516" i="4"/>
  <c r="A516" i="4"/>
  <c r="K515" i="4"/>
  <c r="G515" i="4"/>
  <c r="E515" i="4"/>
  <c r="A515" i="4"/>
  <c r="K514" i="4"/>
  <c r="G514" i="4"/>
  <c r="E514" i="4"/>
  <c r="A514" i="4"/>
  <c r="L513" i="4"/>
  <c r="K513" i="4"/>
  <c r="G513" i="4"/>
  <c r="E513" i="4"/>
  <c r="A513" i="4"/>
  <c r="K512" i="4"/>
  <c r="G512" i="4"/>
  <c r="E512" i="4"/>
  <c r="A512" i="4"/>
  <c r="K511" i="4"/>
  <c r="E511" i="4"/>
  <c r="L510" i="4"/>
  <c r="K510" i="4"/>
  <c r="E510" i="4"/>
  <c r="L509" i="4"/>
  <c r="K509" i="4"/>
  <c r="E509" i="4"/>
  <c r="K508" i="4"/>
  <c r="E508" i="4"/>
  <c r="K507" i="4"/>
  <c r="E507" i="4"/>
  <c r="L506" i="4"/>
  <c r="K506" i="4"/>
  <c r="E506" i="4"/>
  <c r="L505" i="4"/>
  <c r="K505" i="4"/>
  <c r="E505" i="4"/>
  <c r="K504" i="4"/>
  <c r="E504" i="4"/>
  <c r="L503" i="4"/>
  <c r="K503" i="4"/>
  <c r="E503" i="4"/>
  <c r="L502" i="4"/>
  <c r="K502" i="4"/>
  <c r="E502" i="4"/>
  <c r="L501" i="4"/>
  <c r="K501" i="4"/>
  <c r="E501" i="4"/>
  <c r="L500" i="4"/>
  <c r="K500" i="4"/>
  <c r="E500" i="4"/>
  <c r="K499" i="4"/>
  <c r="E499" i="4"/>
  <c r="L498" i="4"/>
  <c r="K498" i="4"/>
  <c r="E498" i="4"/>
  <c r="L497" i="4"/>
  <c r="K497" i="4"/>
  <c r="E497" i="4"/>
  <c r="L496" i="4"/>
  <c r="K496" i="4"/>
  <c r="E496" i="4"/>
  <c r="L495" i="4"/>
  <c r="K495" i="4"/>
  <c r="E495" i="4"/>
  <c r="L494" i="4"/>
  <c r="K494" i="4"/>
  <c r="E494" i="4"/>
  <c r="K493" i="4"/>
  <c r="E493" i="4"/>
  <c r="L492" i="4"/>
  <c r="K492" i="4"/>
  <c r="E492" i="4"/>
  <c r="L491" i="4"/>
  <c r="K491" i="4"/>
  <c r="E491" i="4"/>
  <c r="L490" i="4"/>
  <c r="K490" i="4"/>
  <c r="E490" i="4"/>
  <c r="L489" i="4"/>
  <c r="K489" i="4"/>
  <c r="E489" i="4"/>
  <c r="L488" i="4"/>
  <c r="K488" i="4"/>
  <c r="E488" i="4"/>
  <c r="K487" i="4"/>
  <c r="E487" i="4"/>
  <c r="L486" i="4"/>
  <c r="K486" i="4"/>
  <c r="E486" i="4"/>
  <c r="L485" i="4"/>
  <c r="K485" i="4"/>
  <c r="E485" i="4"/>
  <c r="L484" i="4"/>
  <c r="K484" i="4"/>
  <c r="E484" i="4"/>
  <c r="L483" i="4"/>
  <c r="K483" i="4"/>
  <c r="E483" i="4"/>
  <c r="M480" i="4"/>
  <c r="M479" i="4"/>
  <c r="M478" i="4"/>
  <c r="L478" i="4"/>
  <c r="K478" i="4"/>
  <c r="J478" i="4"/>
  <c r="E478" i="4"/>
  <c r="D478" i="4"/>
  <c r="L477" i="4"/>
  <c r="K477" i="4"/>
  <c r="G477" i="4"/>
  <c r="E477" i="4"/>
  <c r="A477" i="4"/>
  <c r="L476" i="4"/>
  <c r="K476" i="4"/>
  <c r="G476" i="4"/>
  <c r="E476" i="4"/>
  <c r="A476" i="4"/>
  <c r="M475" i="4"/>
  <c r="L475" i="4"/>
  <c r="K475" i="4"/>
  <c r="G475" i="4"/>
  <c r="E475" i="4"/>
  <c r="A475" i="4"/>
  <c r="L474" i="4"/>
  <c r="K474" i="4"/>
  <c r="G474" i="4"/>
  <c r="E474" i="4"/>
  <c r="A474" i="4"/>
  <c r="L473" i="4"/>
  <c r="K473" i="4"/>
  <c r="G473" i="4"/>
  <c r="E473" i="4"/>
  <c r="A473" i="4"/>
  <c r="L472" i="4"/>
  <c r="K472" i="4"/>
  <c r="G472" i="4"/>
  <c r="E472" i="4"/>
  <c r="A472" i="4"/>
  <c r="L471" i="4"/>
  <c r="K471" i="4"/>
  <c r="G471" i="4"/>
  <c r="E471" i="4"/>
  <c r="A471" i="4"/>
  <c r="L470" i="4"/>
  <c r="K470" i="4"/>
  <c r="G470" i="4"/>
  <c r="E470" i="4"/>
  <c r="A470" i="4"/>
  <c r="L469" i="4"/>
  <c r="K469" i="4"/>
  <c r="G469" i="4"/>
  <c r="E469" i="4"/>
  <c r="A469" i="4"/>
  <c r="L468" i="4"/>
  <c r="K468" i="4"/>
  <c r="G468" i="4"/>
  <c r="E468" i="4"/>
  <c r="A468" i="4"/>
  <c r="L467" i="4"/>
  <c r="K467" i="4"/>
  <c r="G467" i="4"/>
  <c r="E467" i="4"/>
  <c r="A467" i="4"/>
  <c r="L466" i="4"/>
  <c r="K466" i="4"/>
  <c r="G466" i="4"/>
  <c r="E466" i="4"/>
  <c r="A466" i="4"/>
  <c r="L465" i="4"/>
  <c r="K465" i="4"/>
  <c r="G465" i="4"/>
  <c r="E465" i="4"/>
  <c r="A465" i="4"/>
  <c r="L464" i="4"/>
  <c r="K464" i="4"/>
  <c r="G464" i="4"/>
  <c r="E464" i="4"/>
  <c r="A464" i="4"/>
  <c r="L463" i="4"/>
  <c r="K463" i="4"/>
  <c r="G463" i="4"/>
  <c r="E463" i="4"/>
  <c r="A463" i="4"/>
  <c r="L462" i="4"/>
  <c r="K462" i="4"/>
  <c r="G462" i="4"/>
  <c r="E462" i="4"/>
  <c r="A462" i="4"/>
  <c r="L461" i="4"/>
  <c r="K461" i="4"/>
  <c r="G461" i="4"/>
  <c r="E461" i="4"/>
  <c r="A461" i="4"/>
  <c r="L460" i="4"/>
  <c r="K460" i="4"/>
  <c r="G460" i="4"/>
  <c r="E460" i="4"/>
  <c r="A460" i="4"/>
  <c r="L459" i="4"/>
  <c r="K459" i="4"/>
  <c r="G459" i="4"/>
  <c r="E459" i="4"/>
  <c r="A459" i="4"/>
  <c r="L458" i="4"/>
  <c r="K458" i="4"/>
  <c r="G458" i="4"/>
  <c r="E458" i="4"/>
  <c r="A458" i="4"/>
  <c r="L457" i="4"/>
  <c r="K457" i="4"/>
  <c r="G457" i="4"/>
  <c r="E457" i="4"/>
  <c r="A457" i="4"/>
  <c r="L456" i="4"/>
  <c r="K456" i="4"/>
  <c r="G456" i="4"/>
  <c r="E456" i="4"/>
  <c r="A456" i="4"/>
  <c r="L455" i="4"/>
  <c r="K455" i="4"/>
  <c r="G455" i="4"/>
  <c r="E455" i="4"/>
  <c r="A455" i="4"/>
  <c r="L454" i="4"/>
  <c r="K454" i="4"/>
  <c r="G454" i="4"/>
  <c r="E454" i="4"/>
  <c r="A454" i="4"/>
  <c r="L453" i="4"/>
  <c r="K453" i="4"/>
  <c r="G453" i="4"/>
  <c r="E453" i="4"/>
  <c r="A453" i="4"/>
  <c r="L452" i="4"/>
  <c r="K452" i="4"/>
  <c r="G452" i="4"/>
  <c r="E452" i="4"/>
  <c r="A452" i="4"/>
  <c r="L451" i="4"/>
  <c r="K451" i="4"/>
  <c r="G451" i="4"/>
  <c r="E451" i="4"/>
  <c r="A451" i="4"/>
  <c r="L450" i="4"/>
  <c r="K450" i="4"/>
  <c r="G450" i="4"/>
  <c r="E450" i="4"/>
  <c r="A450" i="4"/>
  <c r="L449" i="4"/>
  <c r="K449" i="4"/>
  <c r="G449" i="4"/>
  <c r="E449" i="4"/>
  <c r="A449" i="4"/>
  <c r="L448" i="4"/>
  <c r="K448" i="4"/>
  <c r="G448" i="4"/>
  <c r="E448" i="4"/>
  <c r="A448" i="4"/>
  <c r="L447" i="4"/>
  <c r="K447" i="4"/>
  <c r="G447" i="4"/>
  <c r="E447" i="4"/>
  <c r="A447" i="4"/>
  <c r="L446" i="4"/>
  <c r="K446" i="4"/>
  <c r="G446" i="4"/>
  <c r="E446" i="4"/>
  <c r="A446" i="4"/>
  <c r="L445" i="4"/>
  <c r="K445" i="4"/>
  <c r="G445" i="4"/>
  <c r="E445" i="4"/>
  <c r="A445" i="4"/>
  <c r="L444" i="4"/>
  <c r="K444" i="4"/>
  <c r="G444" i="4"/>
  <c r="E444" i="4"/>
  <c r="A444" i="4"/>
  <c r="L443" i="4"/>
  <c r="K443" i="4"/>
  <c r="G443" i="4"/>
  <c r="E443" i="4"/>
  <c r="A443" i="4"/>
  <c r="L442" i="4"/>
  <c r="K442" i="4"/>
  <c r="G442" i="4"/>
  <c r="E442" i="4"/>
  <c r="A442" i="4"/>
  <c r="L441" i="4"/>
  <c r="K441" i="4"/>
  <c r="G441" i="4"/>
  <c r="E441" i="4"/>
  <c r="A441" i="4"/>
  <c r="L440" i="4"/>
  <c r="K440" i="4"/>
  <c r="G440" i="4"/>
  <c r="E440" i="4"/>
  <c r="A440" i="4"/>
  <c r="L439" i="4"/>
  <c r="K439" i="4"/>
  <c r="G439" i="4"/>
  <c r="E439" i="4"/>
  <c r="A439" i="4"/>
  <c r="L438" i="4"/>
  <c r="K438" i="4"/>
  <c r="G438" i="4"/>
  <c r="E438" i="4"/>
  <c r="A438" i="4"/>
  <c r="L437" i="4"/>
  <c r="K437" i="4"/>
  <c r="G437" i="4"/>
  <c r="E437" i="4"/>
  <c r="A437" i="4"/>
  <c r="L436" i="4"/>
  <c r="K436" i="4"/>
  <c r="G436" i="4"/>
  <c r="E436" i="4"/>
  <c r="A436" i="4"/>
  <c r="L435" i="4"/>
  <c r="K435" i="4"/>
  <c r="G435" i="4"/>
  <c r="E435" i="4"/>
  <c r="A435" i="4"/>
  <c r="L434" i="4"/>
  <c r="K434" i="4"/>
  <c r="G434" i="4"/>
  <c r="E434" i="4"/>
  <c r="A434" i="4"/>
  <c r="L433" i="4"/>
  <c r="K433" i="4"/>
  <c r="G433" i="4"/>
  <c r="E433" i="4"/>
  <c r="A433" i="4"/>
  <c r="L432" i="4"/>
  <c r="K432" i="4"/>
  <c r="G432" i="4"/>
  <c r="E432" i="4"/>
  <c r="A432" i="4"/>
  <c r="L431" i="4"/>
  <c r="K431" i="4"/>
  <c r="G431" i="4"/>
  <c r="E431" i="4"/>
  <c r="A431" i="4"/>
  <c r="L430" i="4"/>
  <c r="K430" i="4"/>
  <c r="G430" i="4"/>
  <c r="E430" i="4"/>
  <c r="A430" i="4"/>
  <c r="L429" i="4"/>
  <c r="K429" i="4"/>
  <c r="G429" i="4"/>
  <c r="E429" i="4"/>
  <c r="A429" i="4"/>
  <c r="L428" i="4"/>
  <c r="K428" i="4"/>
  <c r="G428" i="4"/>
  <c r="E428" i="4"/>
  <c r="A428" i="4"/>
  <c r="L427" i="4"/>
  <c r="K427" i="4"/>
  <c r="G427" i="4"/>
  <c r="E427" i="4"/>
  <c r="A427" i="4"/>
  <c r="L426" i="4"/>
  <c r="K426" i="4"/>
  <c r="E426" i="4"/>
  <c r="M425" i="4"/>
  <c r="M424" i="4"/>
  <c r="M423" i="4"/>
  <c r="M422" i="4"/>
  <c r="L421" i="4"/>
  <c r="K421" i="4"/>
  <c r="J421" i="4"/>
  <c r="E421" i="4"/>
  <c r="D421" i="4"/>
  <c r="L420" i="4"/>
  <c r="K420" i="4"/>
  <c r="G420" i="4"/>
  <c r="E420" i="4"/>
  <c r="A420" i="4"/>
  <c r="K419" i="4"/>
  <c r="G419" i="4"/>
  <c r="E419" i="4"/>
  <c r="A419" i="4"/>
  <c r="K418" i="4"/>
  <c r="G418" i="4"/>
  <c r="E418" i="4"/>
  <c r="A418" i="4"/>
  <c r="K417" i="4"/>
  <c r="G417" i="4"/>
  <c r="E417" i="4"/>
  <c r="A417" i="4"/>
  <c r="L416" i="4"/>
  <c r="K416" i="4"/>
  <c r="G416" i="4"/>
  <c r="E416" i="4"/>
  <c r="A416" i="4"/>
  <c r="L415" i="4"/>
  <c r="K415" i="4"/>
  <c r="G415" i="4"/>
  <c r="E415" i="4"/>
  <c r="A415" i="4"/>
  <c r="L414" i="4"/>
  <c r="K414" i="4"/>
  <c r="G414" i="4"/>
  <c r="E414" i="4"/>
  <c r="A414" i="4"/>
  <c r="K413" i="4"/>
  <c r="G413" i="4"/>
  <c r="E413" i="4"/>
  <c r="A413" i="4"/>
  <c r="K412" i="4"/>
  <c r="G412" i="4"/>
  <c r="E412" i="4"/>
  <c r="A412" i="4"/>
  <c r="L411" i="4"/>
  <c r="K411" i="4"/>
  <c r="G411" i="4"/>
  <c r="E411" i="4"/>
  <c r="A411" i="4"/>
  <c r="L410" i="4"/>
  <c r="K410" i="4"/>
  <c r="G410" i="4"/>
  <c r="E410" i="4"/>
  <c r="A410" i="4"/>
  <c r="L409" i="4"/>
  <c r="K409" i="4"/>
  <c r="G409" i="4"/>
  <c r="E409" i="4"/>
  <c r="A409" i="4"/>
  <c r="K408" i="4"/>
  <c r="G408" i="4"/>
  <c r="E408" i="4"/>
  <c r="A408" i="4"/>
  <c r="L407" i="4"/>
  <c r="K407" i="4"/>
  <c r="G407" i="4"/>
  <c r="E407" i="4"/>
  <c r="A407" i="4"/>
  <c r="K406" i="4"/>
  <c r="G406" i="4"/>
  <c r="E406" i="4"/>
  <c r="A406" i="4"/>
  <c r="L405" i="4"/>
  <c r="K405" i="4"/>
  <c r="G405" i="4"/>
  <c r="E405" i="4"/>
  <c r="A405" i="4"/>
  <c r="K404" i="4"/>
  <c r="G404" i="4"/>
  <c r="E404" i="4"/>
  <c r="A404" i="4"/>
  <c r="L403" i="4"/>
  <c r="K403" i="4"/>
  <c r="G403" i="4"/>
  <c r="E403" i="4"/>
  <c r="A403" i="4"/>
  <c r="K402" i="4"/>
  <c r="G402" i="4"/>
  <c r="E402" i="4"/>
  <c r="A402" i="4"/>
  <c r="L401" i="4"/>
  <c r="K401" i="4"/>
  <c r="G401" i="4"/>
  <c r="E401" i="4"/>
  <c r="A401" i="4"/>
  <c r="K400" i="4"/>
  <c r="G400" i="4"/>
  <c r="E400" i="4"/>
  <c r="A400" i="4"/>
  <c r="K399" i="4"/>
  <c r="G399" i="4"/>
  <c r="E399" i="4"/>
  <c r="A399" i="4"/>
  <c r="L398" i="4"/>
  <c r="K398" i="4"/>
  <c r="G398" i="4"/>
  <c r="E398" i="4"/>
  <c r="A398" i="4"/>
  <c r="L397" i="4"/>
  <c r="K397" i="4"/>
  <c r="G397" i="4"/>
  <c r="E397" i="4"/>
  <c r="A397" i="4"/>
  <c r="L396" i="4"/>
  <c r="K396" i="4"/>
  <c r="G396" i="4"/>
  <c r="E396" i="4"/>
  <c r="A396" i="4"/>
  <c r="K395" i="4"/>
  <c r="G395" i="4"/>
  <c r="E395" i="4"/>
  <c r="A395" i="4"/>
  <c r="K394" i="4"/>
  <c r="G394" i="4"/>
  <c r="E394" i="4"/>
  <c r="A394" i="4"/>
  <c r="K393" i="4"/>
  <c r="G393" i="4"/>
  <c r="E393" i="4"/>
  <c r="A393" i="4"/>
  <c r="L392" i="4"/>
  <c r="K392" i="4"/>
  <c r="G392" i="4"/>
  <c r="E392" i="4"/>
  <c r="A392" i="4"/>
  <c r="L391" i="4"/>
  <c r="K391" i="4"/>
  <c r="G391" i="4"/>
  <c r="E391" i="4"/>
  <c r="A391" i="4"/>
  <c r="L390" i="4"/>
  <c r="K390" i="4"/>
  <c r="G390" i="4"/>
  <c r="E390" i="4"/>
  <c r="A390" i="4"/>
  <c r="L389" i="4"/>
  <c r="K389" i="4"/>
  <c r="G389" i="4"/>
  <c r="E389" i="4"/>
  <c r="A389" i="4"/>
  <c r="K388" i="4"/>
  <c r="G388" i="4"/>
  <c r="E388" i="4"/>
  <c r="A388" i="4"/>
  <c r="K387" i="4"/>
  <c r="G387" i="4"/>
  <c r="E387" i="4"/>
  <c r="A387" i="4"/>
  <c r="K386" i="4"/>
  <c r="G386" i="4"/>
  <c r="E386" i="4"/>
  <c r="A386" i="4"/>
  <c r="K385" i="4"/>
  <c r="G385" i="4"/>
  <c r="E385" i="4"/>
  <c r="A385" i="4"/>
  <c r="K384" i="4"/>
  <c r="G384" i="4"/>
  <c r="E384" i="4"/>
  <c r="A384" i="4"/>
  <c r="L383" i="4"/>
  <c r="K383" i="4"/>
  <c r="G383" i="4"/>
  <c r="E383" i="4"/>
  <c r="A383" i="4"/>
  <c r="L382" i="4"/>
  <c r="K382" i="4"/>
  <c r="G382" i="4"/>
  <c r="E382" i="4"/>
  <c r="A382" i="4"/>
  <c r="K381" i="4"/>
  <c r="G381" i="4"/>
  <c r="E381" i="4"/>
  <c r="A381" i="4"/>
  <c r="L380" i="4"/>
  <c r="K380" i="4"/>
  <c r="G380" i="4"/>
  <c r="E380" i="4"/>
  <c r="A380" i="4"/>
  <c r="K379" i="4"/>
  <c r="G379" i="4"/>
  <c r="E379" i="4"/>
  <c r="A379" i="4"/>
  <c r="L378" i="4"/>
  <c r="K378" i="4"/>
  <c r="G378" i="4"/>
  <c r="E378" i="4"/>
  <c r="A378" i="4"/>
  <c r="L377" i="4"/>
  <c r="K377" i="4"/>
  <c r="G377" i="4"/>
  <c r="E377" i="4"/>
  <c r="A377" i="4"/>
  <c r="K376" i="4"/>
  <c r="G376" i="4"/>
  <c r="E376" i="4"/>
  <c r="A376" i="4"/>
  <c r="L375" i="4"/>
  <c r="K375" i="4"/>
  <c r="G375" i="4"/>
  <c r="E375" i="4"/>
  <c r="A375" i="4"/>
  <c r="K374" i="4"/>
  <c r="G374" i="4"/>
  <c r="E374" i="4"/>
  <c r="A374" i="4"/>
  <c r="L373" i="4"/>
  <c r="K373" i="4"/>
  <c r="G373" i="4"/>
  <c r="E373" i="4"/>
  <c r="A373" i="4"/>
  <c r="L372" i="4"/>
  <c r="K372" i="4"/>
  <c r="G372" i="4"/>
  <c r="E372" i="4"/>
  <c r="A372" i="4"/>
  <c r="L371" i="4"/>
  <c r="K371" i="4"/>
  <c r="G371" i="4"/>
  <c r="E371" i="4"/>
  <c r="A371" i="4"/>
  <c r="L370" i="4"/>
  <c r="K370" i="4"/>
  <c r="G370" i="4"/>
  <c r="E370" i="4"/>
  <c r="A370" i="4"/>
  <c r="L369" i="4"/>
  <c r="K369" i="4"/>
  <c r="G369" i="4"/>
  <c r="E369" i="4"/>
  <c r="A369" i="4"/>
  <c r="L368" i="4"/>
  <c r="K368" i="4"/>
  <c r="G368" i="4"/>
  <c r="E368" i="4"/>
  <c r="A368" i="4"/>
  <c r="K367" i="4"/>
  <c r="G367" i="4"/>
  <c r="E367" i="4"/>
  <c r="A367" i="4"/>
  <c r="L366" i="4"/>
  <c r="K366" i="4"/>
  <c r="G366" i="4"/>
  <c r="E366" i="4"/>
  <c r="A366" i="4"/>
  <c r="L365" i="4"/>
  <c r="K365" i="4"/>
  <c r="G365" i="4"/>
  <c r="E365" i="4"/>
  <c r="A365" i="4"/>
  <c r="L364" i="4"/>
  <c r="K364" i="4"/>
  <c r="G364" i="4"/>
  <c r="E364" i="4"/>
  <c r="A364" i="4"/>
  <c r="L363" i="4"/>
  <c r="K363" i="4"/>
  <c r="G363" i="4"/>
  <c r="E363" i="4"/>
  <c r="A363" i="4"/>
  <c r="K362" i="4"/>
  <c r="G362" i="4"/>
  <c r="E362" i="4"/>
  <c r="A362" i="4"/>
  <c r="K361" i="4"/>
  <c r="G361" i="4"/>
  <c r="E361" i="4"/>
  <c r="A361" i="4"/>
  <c r="L360" i="4"/>
  <c r="K360" i="4"/>
  <c r="G360" i="4"/>
  <c r="E360" i="4"/>
  <c r="A360" i="4"/>
  <c r="L359" i="4"/>
  <c r="K359" i="4"/>
  <c r="G359" i="4"/>
  <c r="E359" i="4"/>
  <c r="A359" i="4"/>
  <c r="L358" i="4"/>
  <c r="K358" i="4"/>
  <c r="G358" i="4"/>
  <c r="E358" i="4"/>
  <c r="A358" i="4"/>
  <c r="K357" i="4"/>
  <c r="G357" i="4"/>
  <c r="E357" i="4"/>
  <c r="A357" i="4"/>
  <c r="L356" i="4"/>
  <c r="K356" i="4"/>
  <c r="G356" i="4"/>
  <c r="E356" i="4"/>
  <c r="A356" i="4"/>
  <c r="K355" i="4"/>
  <c r="G355" i="4"/>
  <c r="E355" i="4"/>
  <c r="A355" i="4"/>
  <c r="K354" i="4"/>
  <c r="G354" i="4"/>
  <c r="E354" i="4"/>
  <c r="A354" i="4"/>
  <c r="L353" i="4"/>
  <c r="K353" i="4"/>
  <c r="G353" i="4"/>
  <c r="E353" i="4"/>
  <c r="A353" i="4"/>
  <c r="K352" i="4"/>
  <c r="G352" i="4"/>
  <c r="E352" i="4"/>
  <c r="A352" i="4"/>
  <c r="K351" i="4"/>
  <c r="E351" i="4"/>
  <c r="L350" i="4"/>
  <c r="K350" i="4"/>
  <c r="E350" i="4"/>
  <c r="L349" i="4"/>
  <c r="K349" i="4"/>
  <c r="E349" i="4"/>
  <c r="K348" i="4"/>
  <c r="E348" i="4"/>
  <c r="K347" i="4"/>
  <c r="E347" i="4"/>
  <c r="L346" i="4"/>
  <c r="K346" i="4"/>
  <c r="E346" i="4"/>
  <c r="L345" i="4"/>
  <c r="K345" i="4"/>
  <c r="E345" i="4"/>
  <c r="K344" i="4"/>
  <c r="E344" i="4"/>
  <c r="L343" i="4"/>
  <c r="K343" i="4"/>
  <c r="E343" i="4"/>
  <c r="L342" i="4"/>
  <c r="K342" i="4"/>
  <c r="E342" i="4"/>
  <c r="L341" i="4"/>
  <c r="K341" i="4"/>
  <c r="E341" i="4"/>
  <c r="L340" i="4"/>
  <c r="K340" i="4"/>
  <c r="E340" i="4"/>
  <c r="K339" i="4"/>
  <c r="E339" i="4"/>
  <c r="L338" i="4"/>
  <c r="K338" i="4"/>
  <c r="E338" i="4"/>
  <c r="L337" i="4"/>
  <c r="K337" i="4"/>
  <c r="E337" i="4"/>
  <c r="L336" i="4"/>
  <c r="K336" i="4"/>
  <c r="E336" i="4"/>
  <c r="L335" i="4"/>
  <c r="K335" i="4"/>
  <c r="E335" i="4"/>
  <c r="L334" i="4"/>
  <c r="K334" i="4"/>
  <c r="E334" i="4"/>
  <c r="K333" i="4"/>
  <c r="E333" i="4"/>
  <c r="L332" i="4"/>
  <c r="K332" i="4"/>
  <c r="E332" i="4"/>
  <c r="L331" i="4"/>
  <c r="K331" i="4"/>
  <c r="E331" i="4"/>
  <c r="K330" i="4"/>
  <c r="E330" i="4"/>
  <c r="L329" i="4"/>
  <c r="K329" i="4"/>
  <c r="E329" i="4"/>
  <c r="L328" i="4"/>
  <c r="K328" i="4"/>
  <c r="E328" i="4"/>
  <c r="K327" i="4"/>
  <c r="E327" i="4"/>
  <c r="L326" i="4"/>
  <c r="K326" i="4"/>
  <c r="E326" i="4"/>
  <c r="L325" i="4"/>
  <c r="K325" i="4"/>
  <c r="E325" i="4"/>
  <c r="L324" i="4"/>
  <c r="K324" i="4"/>
  <c r="E324" i="4"/>
  <c r="L323" i="4"/>
  <c r="K323" i="4"/>
  <c r="E323" i="4"/>
  <c r="M320" i="4"/>
  <c r="M319" i="4"/>
  <c r="M318" i="4"/>
  <c r="L318" i="4"/>
  <c r="K318" i="4"/>
  <c r="J318" i="4"/>
  <c r="E318" i="4"/>
  <c r="D318" i="4"/>
  <c r="K317" i="4"/>
  <c r="G317" i="4"/>
  <c r="E317" i="4"/>
  <c r="A317" i="4"/>
  <c r="L316" i="4"/>
  <c r="K316" i="4"/>
  <c r="G316" i="4"/>
  <c r="E316" i="4"/>
  <c r="A316" i="4"/>
  <c r="M315" i="4"/>
  <c r="L315" i="4"/>
  <c r="K315" i="4"/>
  <c r="G315" i="4"/>
  <c r="E315" i="4"/>
  <c r="A315" i="4"/>
  <c r="L314" i="4"/>
  <c r="K314" i="4"/>
  <c r="G314" i="4"/>
  <c r="E314" i="4"/>
  <c r="A314" i="4"/>
  <c r="K313" i="4"/>
  <c r="G313" i="4"/>
  <c r="E313" i="4"/>
  <c r="A313" i="4"/>
  <c r="K312" i="4"/>
  <c r="G312" i="4"/>
  <c r="E312" i="4"/>
  <c r="A312" i="4"/>
  <c r="L311" i="4"/>
  <c r="K311" i="4"/>
  <c r="G311" i="4"/>
  <c r="E311" i="4"/>
  <c r="A311" i="4"/>
  <c r="L310" i="4"/>
  <c r="K310" i="4"/>
  <c r="G310" i="4"/>
  <c r="E310" i="4"/>
  <c r="A310" i="4"/>
  <c r="L309" i="4"/>
  <c r="K309" i="4"/>
  <c r="G309" i="4"/>
  <c r="E309" i="4"/>
  <c r="A309" i="4"/>
  <c r="K308" i="4"/>
  <c r="G308" i="4"/>
  <c r="E308" i="4"/>
  <c r="A308" i="4"/>
  <c r="L307" i="4"/>
  <c r="K307" i="4"/>
  <c r="G307" i="4"/>
  <c r="E307" i="4"/>
  <c r="A307" i="4"/>
  <c r="L306" i="4"/>
  <c r="K306" i="4"/>
  <c r="G306" i="4"/>
  <c r="E306" i="4"/>
  <c r="A306" i="4"/>
  <c r="K305" i="4"/>
  <c r="G305" i="4"/>
  <c r="E305" i="4"/>
  <c r="A305" i="4"/>
  <c r="K304" i="4"/>
  <c r="G304" i="4"/>
  <c r="E304" i="4"/>
  <c r="A304" i="4"/>
  <c r="K303" i="4"/>
  <c r="G303" i="4"/>
  <c r="E303" i="4"/>
  <c r="A303" i="4"/>
  <c r="L302" i="4"/>
  <c r="K302" i="4"/>
  <c r="G302" i="4"/>
  <c r="E302" i="4"/>
  <c r="A302" i="4"/>
  <c r="K301" i="4"/>
  <c r="G301" i="4"/>
  <c r="E301" i="4"/>
  <c r="A301" i="4"/>
  <c r="L300" i="4"/>
  <c r="K300" i="4"/>
  <c r="G300" i="4"/>
  <c r="E300" i="4"/>
  <c r="A300" i="4"/>
  <c r="L299" i="4"/>
  <c r="K299" i="4"/>
  <c r="G299" i="4"/>
  <c r="E299" i="4"/>
  <c r="A299" i="4"/>
  <c r="L298" i="4"/>
  <c r="K298" i="4"/>
  <c r="G298" i="4"/>
  <c r="E298" i="4"/>
  <c r="A298" i="4"/>
  <c r="L297" i="4"/>
  <c r="K297" i="4"/>
  <c r="G297" i="4"/>
  <c r="E297" i="4"/>
  <c r="A297" i="4"/>
  <c r="L296" i="4"/>
  <c r="K296" i="4"/>
  <c r="G296" i="4"/>
  <c r="E296" i="4"/>
  <c r="A296" i="4"/>
  <c r="L295" i="4"/>
  <c r="K295" i="4"/>
  <c r="G295" i="4"/>
  <c r="E295" i="4"/>
  <c r="A295" i="4"/>
  <c r="L294" i="4"/>
  <c r="K294" i="4"/>
  <c r="G294" i="4"/>
  <c r="E294" i="4"/>
  <c r="A294" i="4"/>
  <c r="L293" i="4"/>
  <c r="K293" i="4"/>
  <c r="G293" i="4"/>
  <c r="E293" i="4"/>
  <c r="A293" i="4"/>
  <c r="L292" i="4"/>
  <c r="K292" i="4"/>
  <c r="G292" i="4"/>
  <c r="E292" i="4"/>
  <c r="A292" i="4"/>
  <c r="L291" i="4"/>
  <c r="K291" i="4"/>
  <c r="G291" i="4"/>
  <c r="E291" i="4"/>
  <c r="A291" i="4"/>
  <c r="K290" i="4"/>
  <c r="G290" i="4"/>
  <c r="E290" i="4"/>
  <c r="A290" i="4"/>
  <c r="L289" i="4"/>
  <c r="K289" i="4"/>
  <c r="G289" i="4"/>
  <c r="E289" i="4"/>
  <c r="A289" i="4"/>
  <c r="L288" i="4"/>
  <c r="K288" i="4"/>
  <c r="G288" i="4"/>
  <c r="E288" i="4"/>
  <c r="A288" i="4"/>
  <c r="L287" i="4"/>
  <c r="K287" i="4"/>
  <c r="G287" i="4"/>
  <c r="E287" i="4"/>
  <c r="A287" i="4"/>
  <c r="K286" i="4"/>
  <c r="G286" i="4"/>
  <c r="E286" i="4"/>
  <c r="A286" i="4"/>
  <c r="L285" i="4"/>
  <c r="K285" i="4"/>
  <c r="G285" i="4"/>
  <c r="E285" i="4"/>
  <c r="A285" i="4"/>
  <c r="K284" i="4"/>
  <c r="G284" i="4"/>
  <c r="E284" i="4"/>
  <c r="A284" i="4"/>
  <c r="K283" i="4"/>
  <c r="G283" i="4"/>
  <c r="E283" i="4"/>
  <c r="A283" i="4"/>
  <c r="K282" i="4"/>
  <c r="G282" i="4"/>
  <c r="E282" i="4"/>
  <c r="A282" i="4"/>
  <c r="K281" i="4"/>
  <c r="G281" i="4"/>
  <c r="E281" i="4"/>
  <c r="A281" i="4"/>
  <c r="K280" i="4"/>
  <c r="G280" i="4"/>
  <c r="E280" i="4"/>
  <c r="A280" i="4"/>
  <c r="L279" i="4"/>
  <c r="K279" i="4"/>
  <c r="G279" i="4"/>
  <c r="E279" i="4"/>
  <c r="A279" i="4"/>
  <c r="K278" i="4"/>
  <c r="G278" i="4"/>
  <c r="E278" i="4"/>
  <c r="A278" i="4"/>
  <c r="L277" i="4"/>
  <c r="K277" i="4"/>
  <c r="G277" i="4"/>
  <c r="E277" i="4"/>
  <c r="A277" i="4"/>
  <c r="K276" i="4"/>
  <c r="G276" i="4"/>
  <c r="E276" i="4"/>
  <c r="A276" i="4"/>
  <c r="L275" i="4"/>
  <c r="K275" i="4"/>
  <c r="G275" i="4"/>
  <c r="E275" i="4"/>
  <c r="A275" i="4"/>
  <c r="L274" i="4"/>
  <c r="K274" i="4"/>
  <c r="G274" i="4"/>
  <c r="E274" i="4"/>
  <c r="A274" i="4"/>
  <c r="L273" i="4"/>
  <c r="K273" i="4"/>
  <c r="G273" i="4"/>
  <c r="E273" i="4"/>
  <c r="A273" i="4"/>
  <c r="K272" i="4"/>
  <c r="G272" i="4"/>
  <c r="E272" i="4"/>
  <c r="A272" i="4"/>
  <c r="K271" i="4"/>
  <c r="G271" i="4"/>
  <c r="E271" i="4"/>
  <c r="A271" i="4"/>
  <c r="L270" i="4"/>
  <c r="K270" i="4"/>
  <c r="G270" i="4"/>
  <c r="E270" i="4"/>
  <c r="A270" i="4"/>
  <c r="L269" i="4"/>
  <c r="K269" i="4"/>
  <c r="G269" i="4"/>
  <c r="E269" i="4"/>
  <c r="A269" i="4"/>
  <c r="K268" i="4"/>
  <c r="G268" i="4"/>
  <c r="E268" i="4"/>
  <c r="A268" i="4"/>
  <c r="K267" i="4"/>
  <c r="G267" i="4"/>
  <c r="E267" i="4"/>
  <c r="A267" i="4"/>
  <c r="L266" i="4"/>
  <c r="K266" i="4"/>
  <c r="E266" i="4"/>
  <c r="M265" i="4"/>
  <c r="M264" i="4"/>
  <c r="M263" i="4"/>
  <c r="M262" i="4"/>
  <c r="L261" i="4"/>
  <c r="K261" i="4"/>
  <c r="J261" i="4"/>
  <c r="E261" i="4"/>
  <c r="D261" i="4"/>
  <c r="L260" i="4"/>
  <c r="K260" i="4"/>
  <c r="G260" i="4"/>
  <c r="E260" i="4"/>
  <c r="A260" i="4"/>
  <c r="K259" i="4"/>
  <c r="G259" i="4"/>
  <c r="E259" i="4"/>
  <c r="A259" i="4"/>
  <c r="K258" i="4"/>
  <c r="G258" i="4"/>
  <c r="E258" i="4"/>
  <c r="A258" i="4"/>
  <c r="K257" i="4"/>
  <c r="G257" i="4"/>
  <c r="E257" i="4"/>
  <c r="A257" i="4"/>
  <c r="L256" i="4"/>
  <c r="K256" i="4"/>
  <c r="G256" i="4"/>
  <c r="E256" i="4"/>
  <c r="A256" i="4"/>
  <c r="L255" i="4"/>
  <c r="K255" i="4"/>
  <c r="G255" i="4"/>
  <c r="E255" i="4"/>
  <c r="A255" i="4"/>
  <c r="L254" i="4"/>
  <c r="K254" i="4"/>
  <c r="G254" i="4"/>
  <c r="E254" i="4"/>
  <c r="A254" i="4"/>
  <c r="K253" i="4"/>
  <c r="G253" i="4"/>
  <c r="E253" i="4"/>
  <c r="A253" i="4"/>
  <c r="K252" i="4"/>
  <c r="G252" i="4"/>
  <c r="E252" i="4"/>
  <c r="A252" i="4"/>
  <c r="K251" i="4"/>
  <c r="G251" i="4"/>
  <c r="E251" i="4"/>
  <c r="A251" i="4"/>
  <c r="L250" i="4"/>
  <c r="K250" i="4"/>
  <c r="G250" i="4"/>
  <c r="E250" i="4"/>
  <c r="A250" i="4"/>
  <c r="L249" i="4"/>
  <c r="K249" i="4"/>
  <c r="G249" i="4"/>
  <c r="E249" i="4"/>
  <c r="A249" i="4"/>
  <c r="K248" i="4"/>
  <c r="G248" i="4"/>
  <c r="E248" i="4"/>
  <c r="A248" i="4"/>
  <c r="L247" i="4"/>
  <c r="K247" i="4"/>
  <c r="G247" i="4"/>
  <c r="E247" i="4"/>
  <c r="A247" i="4"/>
  <c r="K246" i="4"/>
  <c r="G246" i="4"/>
  <c r="E246" i="4"/>
  <c r="A246" i="4"/>
  <c r="L245" i="4"/>
  <c r="K245" i="4"/>
  <c r="G245" i="4"/>
  <c r="E245" i="4"/>
  <c r="A245" i="4"/>
  <c r="L244" i="4"/>
  <c r="K244" i="4"/>
  <c r="G244" i="4"/>
  <c r="E244" i="4"/>
  <c r="A244" i="4"/>
  <c r="L243" i="4"/>
  <c r="K243" i="4"/>
  <c r="G243" i="4"/>
  <c r="E243" i="4"/>
  <c r="A243" i="4"/>
  <c r="K242" i="4"/>
  <c r="G242" i="4"/>
  <c r="E242" i="4"/>
  <c r="A242" i="4"/>
  <c r="L241" i="4"/>
  <c r="K241" i="4"/>
  <c r="G241" i="4"/>
  <c r="E241" i="4"/>
  <c r="A241" i="4"/>
  <c r="K240" i="4"/>
  <c r="G240" i="4"/>
  <c r="E240" i="4"/>
  <c r="A240" i="4"/>
  <c r="K239" i="4"/>
  <c r="G239" i="4"/>
  <c r="E239" i="4"/>
  <c r="A239" i="4"/>
  <c r="L238" i="4"/>
  <c r="K238" i="4"/>
  <c r="G238" i="4"/>
  <c r="E238" i="4"/>
  <c r="A238" i="4"/>
  <c r="L237" i="4"/>
  <c r="K237" i="4"/>
  <c r="G237" i="4"/>
  <c r="E237" i="4"/>
  <c r="A237" i="4"/>
  <c r="L236" i="4"/>
  <c r="K236" i="4"/>
  <c r="G236" i="4"/>
  <c r="E236" i="4"/>
  <c r="A236" i="4"/>
  <c r="K235" i="4"/>
  <c r="G235" i="4"/>
  <c r="E235" i="4"/>
  <c r="A235" i="4"/>
  <c r="K234" i="4"/>
  <c r="G234" i="4"/>
  <c r="E234" i="4"/>
  <c r="A234" i="4"/>
  <c r="K233" i="4"/>
  <c r="G233" i="4"/>
  <c r="E233" i="4"/>
  <c r="A233" i="4"/>
  <c r="L232" i="4"/>
  <c r="K232" i="4"/>
  <c r="G232" i="4"/>
  <c r="E232" i="4"/>
  <c r="A232" i="4"/>
  <c r="L231" i="4"/>
  <c r="K231" i="4"/>
  <c r="G231" i="4"/>
  <c r="E231" i="4"/>
  <c r="A231" i="4"/>
  <c r="L230" i="4"/>
  <c r="K230" i="4"/>
  <c r="G230" i="4"/>
  <c r="E230" i="4"/>
  <c r="A230" i="4"/>
  <c r="L229" i="4"/>
  <c r="K229" i="4"/>
  <c r="G229" i="4"/>
  <c r="E229" i="4"/>
  <c r="A229" i="4"/>
  <c r="K228" i="4"/>
  <c r="G228" i="4"/>
  <c r="E228" i="4"/>
  <c r="A228" i="4"/>
  <c r="K227" i="4"/>
  <c r="G227" i="4"/>
  <c r="E227" i="4"/>
  <c r="A227" i="4"/>
  <c r="L226" i="4"/>
  <c r="K226" i="4"/>
  <c r="G226" i="4"/>
  <c r="E226" i="4"/>
  <c r="A226" i="4"/>
  <c r="K225" i="4"/>
  <c r="G225" i="4"/>
  <c r="E225" i="4"/>
  <c r="A225" i="4"/>
  <c r="K224" i="4"/>
  <c r="G224" i="4"/>
  <c r="E224" i="4"/>
  <c r="A224" i="4"/>
  <c r="L223" i="4"/>
  <c r="K223" i="4"/>
  <c r="G223" i="4"/>
  <c r="E223" i="4"/>
  <c r="A223" i="4"/>
  <c r="L222" i="4"/>
  <c r="K222" i="4"/>
  <c r="G222" i="4"/>
  <c r="E222" i="4"/>
  <c r="A222" i="4"/>
  <c r="K221" i="4"/>
  <c r="G221" i="4"/>
  <c r="E221" i="4"/>
  <c r="A221" i="4"/>
  <c r="L220" i="4"/>
  <c r="K220" i="4"/>
  <c r="G220" i="4"/>
  <c r="E220" i="4"/>
  <c r="A220" i="4"/>
  <c r="K219" i="4"/>
  <c r="G219" i="4"/>
  <c r="E219" i="4"/>
  <c r="A219" i="4"/>
  <c r="L218" i="4"/>
  <c r="K218" i="4"/>
  <c r="G218" i="4"/>
  <c r="E218" i="4"/>
  <c r="A218" i="4"/>
  <c r="L217" i="4"/>
  <c r="K217" i="4"/>
  <c r="G217" i="4"/>
  <c r="E217" i="4"/>
  <c r="A217" i="4"/>
  <c r="K216" i="4"/>
  <c r="G216" i="4"/>
  <c r="E216" i="4"/>
  <c r="A216" i="4"/>
  <c r="L215" i="4"/>
  <c r="K215" i="4"/>
  <c r="G215" i="4"/>
  <c r="E215" i="4"/>
  <c r="A215" i="4"/>
  <c r="K214" i="4"/>
  <c r="G214" i="4"/>
  <c r="E214" i="4"/>
  <c r="A214" i="4"/>
  <c r="L213" i="4"/>
  <c r="K213" i="4"/>
  <c r="G213" i="4"/>
  <c r="E213" i="4"/>
  <c r="A213" i="4"/>
  <c r="L212" i="4"/>
  <c r="K212" i="4"/>
  <c r="G212" i="4"/>
  <c r="E212" i="4"/>
  <c r="A212" i="4"/>
  <c r="L211" i="4"/>
  <c r="K211" i="4"/>
  <c r="G211" i="4"/>
  <c r="E211" i="4"/>
  <c r="A211" i="4"/>
  <c r="L210" i="4"/>
  <c r="K210" i="4"/>
  <c r="G210" i="4"/>
  <c r="E210" i="4"/>
  <c r="A210" i="4"/>
  <c r="L209" i="4"/>
  <c r="K209" i="4"/>
  <c r="G209" i="4"/>
  <c r="E209" i="4"/>
  <c r="A209" i="4"/>
  <c r="L208" i="4"/>
  <c r="K208" i="4"/>
  <c r="G208" i="4"/>
  <c r="E208" i="4"/>
  <c r="A208" i="4"/>
  <c r="K207" i="4"/>
  <c r="G207" i="4"/>
  <c r="E207" i="4"/>
  <c r="A207" i="4"/>
  <c r="L206" i="4"/>
  <c r="K206" i="4"/>
  <c r="G206" i="4"/>
  <c r="E206" i="4"/>
  <c r="A206" i="4"/>
  <c r="L205" i="4"/>
  <c r="K205" i="4"/>
  <c r="G205" i="4"/>
  <c r="E205" i="4"/>
  <c r="A205" i="4"/>
  <c r="L204" i="4"/>
  <c r="K204" i="4"/>
  <c r="G204" i="4"/>
  <c r="E204" i="4"/>
  <c r="A204" i="4"/>
  <c r="L203" i="4"/>
  <c r="K203" i="4"/>
  <c r="G203" i="4"/>
  <c r="E203" i="4"/>
  <c r="A203" i="4"/>
  <c r="K202" i="4"/>
  <c r="G202" i="4"/>
  <c r="E202" i="4"/>
  <c r="A202" i="4"/>
  <c r="K201" i="4"/>
  <c r="G201" i="4"/>
  <c r="E201" i="4"/>
  <c r="A201" i="4"/>
  <c r="L200" i="4"/>
  <c r="K200" i="4"/>
  <c r="G200" i="4"/>
  <c r="E200" i="4"/>
  <c r="A200" i="4"/>
  <c r="L199" i="4"/>
  <c r="K199" i="4"/>
  <c r="G199" i="4"/>
  <c r="E199" i="4"/>
  <c r="A199" i="4"/>
  <c r="L198" i="4"/>
  <c r="K198" i="4"/>
  <c r="G198" i="4"/>
  <c r="E198" i="4"/>
  <c r="A198" i="4"/>
  <c r="K197" i="4"/>
  <c r="G197" i="4"/>
  <c r="E197" i="4"/>
  <c r="A197" i="4"/>
  <c r="L196" i="4"/>
  <c r="K196" i="4"/>
  <c r="G196" i="4"/>
  <c r="E196" i="4"/>
  <c r="A196" i="4"/>
  <c r="K195" i="4"/>
  <c r="G195" i="4"/>
  <c r="E195" i="4"/>
  <c r="A195" i="4"/>
  <c r="K194" i="4"/>
  <c r="G194" i="4"/>
  <c r="E194" i="4"/>
  <c r="A194" i="4"/>
  <c r="L193" i="4"/>
  <c r="K193" i="4"/>
  <c r="G193" i="4"/>
  <c r="E193" i="4"/>
  <c r="A193" i="4"/>
  <c r="K192" i="4"/>
  <c r="G192" i="4"/>
  <c r="E192" i="4"/>
  <c r="A192" i="4"/>
  <c r="K191" i="4"/>
  <c r="E191" i="4"/>
  <c r="L190" i="4"/>
  <c r="K190" i="4"/>
  <c r="E190" i="4"/>
  <c r="L189" i="4"/>
  <c r="K189" i="4"/>
  <c r="E189" i="4"/>
  <c r="K188" i="4"/>
  <c r="E188" i="4"/>
  <c r="K187" i="4"/>
  <c r="E187" i="4"/>
  <c r="L186" i="4"/>
  <c r="K186" i="4"/>
  <c r="E186" i="4"/>
  <c r="L185" i="4"/>
  <c r="K185" i="4"/>
  <c r="E185" i="4"/>
  <c r="K184" i="4"/>
  <c r="E184" i="4"/>
  <c r="L183" i="4"/>
  <c r="K183" i="4"/>
  <c r="E183" i="4"/>
  <c r="L182" i="4"/>
  <c r="K182" i="4"/>
  <c r="E182" i="4"/>
  <c r="L181" i="4"/>
  <c r="K181" i="4"/>
  <c r="E181" i="4"/>
  <c r="L180" i="4"/>
  <c r="K180" i="4"/>
  <c r="E180" i="4"/>
  <c r="K179" i="4"/>
  <c r="E179" i="4"/>
  <c r="L178" i="4"/>
  <c r="K178" i="4"/>
  <c r="E178" i="4"/>
  <c r="L177" i="4"/>
  <c r="K177" i="4"/>
  <c r="E177" i="4"/>
  <c r="L176" i="4"/>
  <c r="K176" i="4"/>
  <c r="E176" i="4"/>
  <c r="L175" i="4"/>
  <c r="K175" i="4"/>
  <c r="E175" i="4"/>
  <c r="L174" i="4"/>
  <c r="K174" i="4"/>
  <c r="E174" i="4"/>
  <c r="K173" i="4"/>
  <c r="E173" i="4"/>
  <c r="L172" i="4"/>
  <c r="K172" i="4"/>
  <c r="E172" i="4"/>
  <c r="L171" i="4"/>
  <c r="K171" i="4"/>
  <c r="E171" i="4"/>
  <c r="K170" i="4"/>
  <c r="E170" i="4"/>
  <c r="L169" i="4"/>
  <c r="K169" i="4"/>
  <c r="E169" i="4"/>
  <c r="L168" i="4"/>
  <c r="K168" i="4"/>
  <c r="E168" i="4"/>
  <c r="K167" i="4"/>
  <c r="E167" i="4"/>
  <c r="L166" i="4"/>
  <c r="K166" i="4"/>
  <c r="E166" i="4"/>
  <c r="L165" i="4"/>
  <c r="K165" i="4"/>
  <c r="E165" i="4"/>
  <c r="L164" i="4"/>
  <c r="K164" i="4"/>
  <c r="E164" i="4"/>
  <c r="L163" i="4"/>
  <c r="K163" i="4"/>
  <c r="E163" i="4"/>
  <c r="M160" i="4"/>
  <c r="M159" i="4"/>
  <c r="M158" i="4"/>
  <c r="L158" i="4"/>
  <c r="K158" i="4"/>
  <c r="J158" i="4"/>
  <c r="E158" i="4"/>
  <c r="D158" i="4"/>
  <c r="K157" i="4"/>
  <c r="G157" i="4"/>
  <c r="E157" i="4"/>
  <c r="A157" i="4"/>
  <c r="L156" i="4"/>
  <c r="K156" i="4"/>
  <c r="G156" i="4"/>
  <c r="E156" i="4"/>
  <c r="A156" i="4"/>
  <c r="M155" i="4"/>
  <c r="L155" i="4"/>
  <c r="K155" i="4"/>
  <c r="G155" i="4"/>
  <c r="E155" i="4"/>
  <c r="A155" i="4"/>
  <c r="L154" i="4"/>
  <c r="K154" i="4"/>
  <c r="G154" i="4"/>
  <c r="E154" i="4"/>
  <c r="A154" i="4"/>
  <c r="K153" i="4"/>
  <c r="G153" i="4"/>
  <c r="E153" i="4"/>
  <c r="A153" i="4"/>
  <c r="K152" i="4"/>
  <c r="G152" i="4"/>
  <c r="E152" i="4"/>
  <c r="A152" i="4"/>
  <c r="L151" i="4"/>
  <c r="K151" i="4"/>
  <c r="G151" i="4"/>
  <c r="E151" i="4"/>
  <c r="A151" i="4"/>
  <c r="L150" i="4"/>
  <c r="K150" i="4"/>
  <c r="G150" i="4"/>
  <c r="E150" i="4"/>
  <c r="A150" i="4"/>
  <c r="L149" i="4"/>
  <c r="K149" i="4"/>
  <c r="G149" i="4"/>
  <c r="E149" i="4"/>
  <c r="A149" i="4"/>
  <c r="K148" i="4"/>
  <c r="G148" i="4"/>
  <c r="E148" i="4"/>
  <c r="A148" i="4"/>
  <c r="L147" i="4"/>
  <c r="K147" i="4"/>
  <c r="G147" i="4"/>
  <c r="E147" i="4"/>
  <c r="A147" i="4"/>
  <c r="L146" i="4"/>
  <c r="K146" i="4"/>
  <c r="G146" i="4"/>
  <c r="E146" i="4"/>
  <c r="A146" i="4"/>
  <c r="K145" i="4"/>
  <c r="G145" i="4"/>
  <c r="E145" i="4"/>
  <c r="A145" i="4"/>
  <c r="L144" i="4"/>
  <c r="K144" i="4"/>
  <c r="G144" i="4"/>
  <c r="E144" i="4"/>
  <c r="A144" i="4"/>
  <c r="K143" i="4"/>
  <c r="G143" i="4"/>
  <c r="E143" i="4"/>
  <c r="A143" i="4"/>
  <c r="L142" i="4"/>
  <c r="K142" i="4"/>
  <c r="G142" i="4"/>
  <c r="E142" i="4"/>
  <c r="A142" i="4"/>
  <c r="K141" i="4"/>
  <c r="G141" i="4"/>
  <c r="E141" i="4"/>
  <c r="A141" i="4"/>
  <c r="L140" i="4"/>
  <c r="K140" i="4"/>
  <c r="G140" i="4"/>
  <c r="E140" i="4"/>
  <c r="A140" i="4"/>
  <c r="L139" i="4"/>
  <c r="K139" i="4"/>
  <c r="G139" i="4"/>
  <c r="E139" i="4"/>
  <c r="A139" i="4"/>
  <c r="L138" i="4"/>
  <c r="K138" i="4"/>
  <c r="G138" i="4"/>
  <c r="E138" i="4"/>
  <c r="A138" i="4"/>
  <c r="L137" i="4"/>
  <c r="K137" i="4"/>
  <c r="G137" i="4"/>
  <c r="E137" i="4"/>
  <c r="A137" i="4"/>
  <c r="L136" i="4"/>
  <c r="K136" i="4"/>
  <c r="G136" i="4"/>
  <c r="E136" i="4"/>
  <c r="A136" i="4"/>
  <c r="L135" i="4"/>
  <c r="K135" i="4"/>
  <c r="G135" i="4"/>
  <c r="E135" i="4"/>
  <c r="A135" i="4"/>
  <c r="L134" i="4"/>
  <c r="K134" i="4"/>
  <c r="G134" i="4"/>
  <c r="E134" i="4"/>
  <c r="A134" i="4"/>
  <c r="L133" i="4"/>
  <c r="K133" i="4"/>
  <c r="G133" i="4"/>
  <c r="E133" i="4"/>
  <c r="A133" i="4"/>
  <c r="L132" i="4"/>
  <c r="K132" i="4"/>
  <c r="G132" i="4"/>
  <c r="E132" i="4"/>
  <c r="A132" i="4"/>
  <c r="L131" i="4"/>
  <c r="K131" i="4"/>
  <c r="G131" i="4"/>
  <c r="E131" i="4"/>
  <c r="A131" i="4"/>
  <c r="K130" i="4"/>
  <c r="G130" i="4"/>
  <c r="E130" i="4"/>
  <c r="A130" i="4"/>
  <c r="L129" i="4"/>
  <c r="K129" i="4"/>
  <c r="G129" i="4"/>
  <c r="E129" i="4"/>
  <c r="A129" i="4"/>
  <c r="L128" i="4"/>
  <c r="K128" i="4"/>
  <c r="G128" i="4"/>
  <c r="E128" i="4"/>
  <c r="A128" i="4"/>
  <c r="L127" i="4"/>
  <c r="K127" i="4"/>
  <c r="G127" i="4"/>
  <c r="E127" i="4"/>
  <c r="A127" i="4"/>
  <c r="K126" i="4"/>
  <c r="G126" i="4"/>
  <c r="E126" i="4"/>
  <c r="A126" i="4"/>
  <c r="L125" i="4"/>
  <c r="K125" i="4"/>
  <c r="G125" i="4"/>
  <c r="E125" i="4"/>
  <c r="A125" i="4"/>
  <c r="K124" i="4"/>
  <c r="G124" i="4"/>
  <c r="E124" i="4"/>
  <c r="A124" i="4"/>
  <c r="K123" i="4"/>
  <c r="G123" i="4"/>
  <c r="E123" i="4"/>
  <c r="A123" i="4"/>
  <c r="K122" i="4"/>
  <c r="G122" i="4"/>
  <c r="E122" i="4"/>
  <c r="A122" i="4"/>
  <c r="K121" i="4"/>
  <c r="G121" i="4"/>
  <c r="E121" i="4"/>
  <c r="A121" i="4"/>
  <c r="L120" i="4"/>
  <c r="K120" i="4"/>
  <c r="G120" i="4"/>
  <c r="E120" i="4"/>
  <c r="A120" i="4"/>
  <c r="L119" i="4"/>
  <c r="K119" i="4"/>
  <c r="G119" i="4"/>
  <c r="E119" i="4"/>
  <c r="A119" i="4"/>
  <c r="K118" i="4"/>
  <c r="G118" i="4"/>
  <c r="E118" i="4"/>
  <c r="A118" i="4"/>
  <c r="L117" i="4"/>
  <c r="K117" i="4"/>
  <c r="G117" i="4"/>
  <c r="E117" i="4"/>
  <c r="A117" i="4"/>
  <c r="K116" i="4"/>
  <c r="G116" i="4"/>
  <c r="E116" i="4"/>
  <c r="A116" i="4"/>
  <c r="L115" i="4"/>
  <c r="K115" i="4"/>
  <c r="G115" i="4"/>
  <c r="E115" i="4"/>
  <c r="A115" i="4"/>
  <c r="L114" i="4"/>
  <c r="K114" i="4"/>
  <c r="G114" i="4"/>
  <c r="E114" i="4"/>
  <c r="A114" i="4"/>
  <c r="L113" i="4"/>
  <c r="K113" i="4"/>
  <c r="G113" i="4"/>
  <c r="E113" i="4"/>
  <c r="A113" i="4"/>
  <c r="K112" i="4"/>
  <c r="G112" i="4"/>
  <c r="E112" i="4"/>
  <c r="A112" i="4"/>
  <c r="K111" i="4"/>
  <c r="G111" i="4"/>
  <c r="E111" i="4"/>
  <c r="A111" i="4"/>
  <c r="L110" i="4"/>
  <c r="K110" i="4"/>
  <c r="G110" i="4"/>
  <c r="E110" i="4"/>
  <c r="A110" i="4"/>
  <c r="L109" i="4"/>
  <c r="K109" i="4"/>
  <c r="G109" i="4"/>
  <c r="E109" i="4"/>
  <c r="A109" i="4"/>
  <c r="K108" i="4"/>
  <c r="G108" i="4"/>
  <c r="E108" i="4"/>
  <c r="A108" i="4"/>
  <c r="K107" i="4"/>
  <c r="G107" i="4"/>
  <c r="E107" i="4"/>
  <c r="A107" i="4"/>
  <c r="L106" i="4"/>
  <c r="K106" i="4"/>
  <c r="E106" i="4"/>
  <c r="M105" i="4"/>
  <c r="M104" i="4"/>
  <c r="M103" i="4"/>
  <c r="M102" i="4"/>
  <c r="L101" i="4"/>
  <c r="K101" i="4"/>
  <c r="J101" i="4"/>
  <c r="E101" i="4"/>
  <c r="D101" i="4"/>
  <c r="L100" i="4"/>
  <c r="K100" i="4"/>
  <c r="G100" i="4"/>
  <c r="E100" i="4"/>
  <c r="A100" i="4"/>
  <c r="K99" i="4"/>
  <c r="G99" i="4"/>
  <c r="E99" i="4"/>
  <c r="A99" i="4"/>
  <c r="K98" i="4"/>
  <c r="G98" i="4"/>
  <c r="E98" i="4"/>
  <c r="A98" i="4"/>
  <c r="K97" i="4"/>
  <c r="G97" i="4"/>
  <c r="E97" i="4"/>
  <c r="A97" i="4"/>
  <c r="L96" i="4"/>
  <c r="K96" i="4"/>
  <c r="G96" i="4"/>
  <c r="E96" i="4"/>
  <c r="A96" i="4"/>
  <c r="L95" i="4"/>
  <c r="K95" i="4"/>
  <c r="G95" i="4"/>
  <c r="E95" i="4"/>
  <c r="A95" i="4"/>
  <c r="L94" i="4"/>
  <c r="K94" i="4"/>
  <c r="G94" i="4"/>
  <c r="E94" i="4"/>
  <c r="A94" i="4"/>
  <c r="K93" i="4"/>
  <c r="G93" i="4"/>
  <c r="E93" i="4"/>
  <c r="A93" i="4"/>
  <c r="K92" i="4"/>
  <c r="G92" i="4"/>
  <c r="E92" i="4"/>
  <c r="A92" i="4"/>
  <c r="L91" i="4"/>
  <c r="K91" i="4"/>
  <c r="G91" i="4"/>
  <c r="E91" i="4"/>
  <c r="A91" i="4"/>
  <c r="L90" i="4"/>
  <c r="K90" i="4"/>
  <c r="G90" i="4"/>
  <c r="E90" i="4"/>
  <c r="A90" i="4"/>
  <c r="L89" i="4"/>
  <c r="K89" i="4"/>
  <c r="G89" i="4"/>
  <c r="E89" i="4"/>
  <c r="A89" i="4"/>
  <c r="K88" i="4"/>
  <c r="G88" i="4"/>
  <c r="E88" i="4"/>
  <c r="A88" i="4"/>
  <c r="L87" i="4"/>
  <c r="K87" i="4"/>
  <c r="G87" i="4"/>
  <c r="E87" i="4"/>
  <c r="A87" i="4"/>
  <c r="K86" i="4"/>
  <c r="G86" i="4"/>
  <c r="E86" i="4"/>
  <c r="A86" i="4"/>
  <c r="L85" i="4"/>
  <c r="K85" i="4"/>
  <c r="G85" i="4"/>
  <c r="E85" i="4"/>
  <c r="A85" i="4"/>
  <c r="L84" i="4"/>
  <c r="K84" i="4"/>
  <c r="G84" i="4"/>
  <c r="E84" i="4"/>
  <c r="A84" i="4"/>
  <c r="L83" i="4"/>
  <c r="K83" i="4"/>
  <c r="G83" i="4"/>
  <c r="E83" i="4"/>
  <c r="A83" i="4"/>
  <c r="K82" i="4"/>
  <c r="G82" i="4"/>
  <c r="E82" i="4"/>
  <c r="A82" i="4"/>
  <c r="L81" i="4"/>
  <c r="K81" i="4"/>
  <c r="G81" i="4"/>
  <c r="E81" i="4"/>
  <c r="A81" i="4"/>
  <c r="K80" i="4"/>
  <c r="G80" i="4"/>
  <c r="E80" i="4"/>
  <c r="A80" i="4"/>
  <c r="K79" i="4"/>
  <c r="G79" i="4"/>
  <c r="E79" i="4"/>
  <c r="A79" i="4"/>
  <c r="L78" i="4"/>
  <c r="K78" i="4"/>
  <c r="G78" i="4"/>
  <c r="E78" i="4"/>
  <c r="A78" i="4"/>
  <c r="L77" i="4"/>
  <c r="K77" i="4"/>
  <c r="G77" i="4"/>
  <c r="E77" i="4"/>
  <c r="A77" i="4"/>
  <c r="L76" i="4"/>
  <c r="K76" i="4"/>
  <c r="G76" i="4"/>
  <c r="E76" i="4"/>
  <c r="A76" i="4"/>
  <c r="K75" i="4"/>
  <c r="G75" i="4"/>
  <c r="E75" i="4"/>
  <c r="A75" i="4"/>
  <c r="K74" i="4"/>
  <c r="G74" i="4"/>
  <c r="E74" i="4"/>
  <c r="A74" i="4"/>
  <c r="K73" i="4"/>
  <c r="G73" i="4"/>
  <c r="E73" i="4"/>
  <c r="A73" i="4"/>
  <c r="L72" i="4"/>
  <c r="K72" i="4"/>
  <c r="G72" i="4"/>
  <c r="E72" i="4"/>
  <c r="A72" i="4"/>
  <c r="L71" i="4"/>
  <c r="K71" i="4"/>
  <c r="G71" i="4"/>
  <c r="E71" i="4"/>
  <c r="A71" i="4"/>
  <c r="L70" i="4"/>
  <c r="K70" i="4"/>
  <c r="G70" i="4"/>
  <c r="E70" i="4"/>
  <c r="A70" i="4"/>
  <c r="L69" i="4"/>
  <c r="K69" i="4"/>
  <c r="G69" i="4"/>
  <c r="E69" i="4"/>
  <c r="A69" i="4"/>
  <c r="K68" i="4"/>
  <c r="G68" i="4"/>
  <c r="E68" i="4"/>
  <c r="A68" i="4"/>
  <c r="K67" i="4"/>
  <c r="G67" i="4"/>
  <c r="E67" i="4"/>
  <c r="A67" i="4"/>
  <c r="L66" i="4"/>
  <c r="K66" i="4"/>
  <c r="G66" i="4"/>
  <c r="E66" i="4"/>
  <c r="A66" i="4"/>
  <c r="K65" i="4"/>
  <c r="G65" i="4"/>
  <c r="E65" i="4"/>
  <c r="A65" i="4"/>
  <c r="K64" i="4"/>
  <c r="G64" i="4"/>
  <c r="E64" i="4"/>
  <c r="A64" i="4"/>
  <c r="K63" i="4"/>
  <c r="G63" i="4"/>
  <c r="E63" i="4"/>
  <c r="A63" i="4"/>
  <c r="L62" i="4"/>
  <c r="K62" i="4"/>
  <c r="G62" i="4"/>
  <c r="E62" i="4"/>
  <c r="A62" i="4"/>
  <c r="K61" i="4"/>
  <c r="G61" i="4"/>
  <c r="E61" i="4"/>
  <c r="A61" i="4"/>
  <c r="L60" i="4"/>
  <c r="K60" i="4"/>
  <c r="G60" i="4"/>
  <c r="E60" i="4"/>
  <c r="A60" i="4"/>
  <c r="K59" i="4"/>
  <c r="G59" i="4"/>
  <c r="E59" i="4"/>
  <c r="A59" i="4"/>
  <c r="L58" i="4"/>
  <c r="K58" i="4"/>
  <c r="G58" i="4"/>
  <c r="E58" i="4"/>
  <c r="A58" i="4"/>
  <c r="L57" i="4"/>
  <c r="K57" i="4"/>
  <c r="G57" i="4"/>
  <c r="E57" i="4"/>
  <c r="A57" i="4"/>
  <c r="K56" i="4"/>
  <c r="G56" i="4"/>
  <c r="E56" i="4"/>
  <c r="A56" i="4"/>
  <c r="L55" i="4"/>
  <c r="K55" i="4"/>
  <c r="G55" i="4"/>
  <c r="E55" i="4"/>
  <c r="A55" i="4"/>
  <c r="K54" i="4"/>
  <c r="G54" i="4"/>
  <c r="E54" i="4"/>
  <c r="A54" i="4"/>
  <c r="L53" i="4"/>
  <c r="K53" i="4"/>
  <c r="G53" i="4"/>
  <c r="E53" i="4"/>
  <c r="A53" i="4"/>
  <c r="L52" i="4"/>
  <c r="K52" i="4"/>
  <c r="G52" i="4"/>
  <c r="E52" i="4"/>
  <c r="A52" i="4"/>
  <c r="L51" i="4"/>
  <c r="K51" i="4"/>
  <c r="G51" i="4"/>
  <c r="E51" i="4"/>
  <c r="A51" i="4"/>
  <c r="L50" i="4"/>
  <c r="K50" i="4"/>
  <c r="G50" i="4"/>
  <c r="E50" i="4"/>
  <c r="A50" i="4"/>
  <c r="K49" i="4"/>
  <c r="G49" i="4"/>
  <c r="E49" i="4"/>
  <c r="A49" i="4"/>
  <c r="L48" i="4"/>
  <c r="K48" i="4"/>
  <c r="G48" i="4"/>
  <c r="E48" i="4"/>
  <c r="A48" i="4"/>
  <c r="K47" i="4"/>
  <c r="G47" i="4"/>
  <c r="E47" i="4"/>
  <c r="A47" i="4"/>
  <c r="L46" i="4"/>
  <c r="K46" i="4"/>
  <c r="G46" i="4"/>
  <c r="E46" i="4"/>
  <c r="A46" i="4"/>
  <c r="L45" i="4"/>
  <c r="K45" i="4"/>
  <c r="G45" i="4"/>
  <c r="E45" i="4"/>
  <c r="A45" i="4"/>
  <c r="L44" i="4"/>
  <c r="K44" i="4"/>
  <c r="G44" i="4"/>
  <c r="E44" i="4"/>
  <c r="A44" i="4"/>
  <c r="L43" i="4"/>
  <c r="K43" i="4"/>
  <c r="G43" i="4"/>
  <c r="E43" i="4"/>
  <c r="A43" i="4"/>
  <c r="K42" i="4"/>
  <c r="G42" i="4"/>
  <c r="E42" i="4"/>
  <c r="A42" i="4"/>
  <c r="K41" i="4"/>
  <c r="G41" i="4"/>
  <c r="E41" i="4"/>
  <c r="A41" i="4"/>
  <c r="L40" i="4"/>
  <c r="K40" i="4"/>
  <c r="G40" i="4"/>
  <c r="E40" i="4"/>
  <c r="A40" i="4"/>
  <c r="L39" i="4"/>
  <c r="K39" i="4"/>
  <c r="G39" i="4"/>
  <c r="E39" i="4"/>
  <c r="A39" i="4"/>
  <c r="L38" i="4"/>
  <c r="K38" i="4"/>
  <c r="G38" i="4"/>
  <c r="E38" i="4"/>
  <c r="A38" i="4"/>
  <c r="K37" i="4"/>
  <c r="G37" i="4"/>
  <c r="E37" i="4"/>
  <c r="A37" i="4"/>
  <c r="L36" i="4"/>
  <c r="K36" i="4"/>
  <c r="G36" i="4"/>
  <c r="E36" i="4"/>
  <c r="A36" i="4"/>
  <c r="K35" i="4"/>
  <c r="G35" i="4"/>
  <c r="E35" i="4"/>
  <c r="A35" i="4"/>
  <c r="K34" i="4"/>
  <c r="G34" i="4"/>
  <c r="E34" i="4"/>
  <c r="A34" i="4"/>
  <c r="L33" i="4"/>
  <c r="K33" i="4"/>
  <c r="G33" i="4"/>
  <c r="E33" i="4"/>
  <c r="A33" i="4"/>
  <c r="K32" i="4"/>
  <c r="G32" i="4"/>
  <c r="E32" i="4"/>
  <c r="A32" i="4"/>
  <c r="K31" i="4"/>
  <c r="E31" i="4"/>
  <c r="L30" i="4"/>
  <c r="K30" i="4"/>
  <c r="E30" i="4"/>
  <c r="L29" i="4"/>
  <c r="K29" i="4"/>
  <c r="E29" i="4"/>
  <c r="K28" i="4"/>
  <c r="E28" i="4"/>
  <c r="K27" i="4"/>
  <c r="E27" i="4"/>
  <c r="L26" i="4"/>
  <c r="K26" i="4"/>
  <c r="E26" i="4"/>
  <c r="L25" i="4"/>
  <c r="K25" i="4"/>
  <c r="E25" i="4"/>
  <c r="K24" i="4"/>
  <c r="E24" i="4"/>
  <c r="L23" i="4"/>
  <c r="K23" i="4"/>
  <c r="E23" i="4"/>
  <c r="L22" i="4"/>
  <c r="K22" i="4"/>
  <c r="E22" i="4"/>
  <c r="L21" i="4"/>
  <c r="K21" i="4"/>
  <c r="E21" i="4"/>
  <c r="L20" i="4"/>
  <c r="K20" i="4"/>
  <c r="E20" i="4"/>
  <c r="K19" i="4"/>
  <c r="E19" i="4"/>
  <c r="L18" i="4"/>
  <c r="K18" i="4"/>
  <c r="E18" i="4"/>
  <c r="L17" i="4"/>
  <c r="K17" i="4"/>
  <c r="E17" i="4"/>
  <c r="L16" i="4"/>
  <c r="K16" i="4"/>
  <c r="E16" i="4"/>
  <c r="L15" i="4"/>
  <c r="K15" i="4"/>
  <c r="E15" i="4"/>
  <c r="L14" i="4"/>
  <c r="K14" i="4"/>
  <c r="E14" i="4"/>
  <c r="K13" i="4"/>
  <c r="E13" i="4"/>
  <c r="L12" i="4"/>
  <c r="K12" i="4"/>
  <c r="E12" i="4"/>
  <c r="L11" i="4"/>
  <c r="K11" i="4"/>
  <c r="E11" i="4"/>
  <c r="L10" i="4"/>
  <c r="K10" i="4"/>
  <c r="E10" i="4"/>
  <c r="L9" i="4"/>
  <c r="K9" i="4"/>
  <c r="E9" i="4"/>
  <c r="L8" i="4"/>
  <c r="K8" i="4"/>
  <c r="E8" i="4"/>
  <c r="K7" i="4"/>
  <c r="E7" i="4"/>
  <c r="L6" i="4"/>
  <c r="K6" i="4"/>
  <c r="E6" i="4"/>
  <c r="L5" i="4"/>
  <c r="K5" i="4"/>
  <c r="E5" i="4"/>
  <c r="L4" i="4"/>
  <c r="K4" i="4"/>
  <c r="E4" i="4"/>
  <c r="L3" i="4"/>
  <c r="K3" i="4"/>
  <c r="E3" i="4"/>
</calcChain>
</file>

<file path=xl/connections.xml><?xml version="1.0" encoding="utf-8"?>
<connections xmlns="http://schemas.openxmlformats.org/spreadsheetml/2006/main">
  <connection id="1" interval="60" name="WorksheetConnection_data sample EXCEL course.xlsx!tableMon" type="5" refreshedVersion="2" saveData="1">
    <dbPr connection="" command=""/>
  </connection>
</connections>
</file>

<file path=xl/sharedStrings.xml><?xml version="1.0" encoding="utf-8"?>
<sst xmlns="http://schemas.openxmlformats.org/spreadsheetml/2006/main" count="5371" uniqueCount="163">
  <si>
    <t>STATION</t>
  </si>
  <si>
    <t>ODORKOR</t>
  </si>
  <si>
    <t>SHUKURA 1</t>
  </si>
  <si>
    <t>SHUKURA 2</t>
  </si>
  <si>
    <t>AGBOGBA</t>
  </si>
  <si>
    <t>NMAIDZORN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</si>
  <si>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</si>
  <si>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</si>
  <si>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</si>
  <si>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</si>
  <si>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</si>
  <si>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</si>
  <si>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</si>
  <si>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</si>
  <si>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</si>
  <si>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</si>
  <si>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</si>
  <si>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MAYERA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</si>
  <si>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</si>
  <si>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</si>
  <si>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</si>
  <si>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</si>
  <si>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</si>
  <si>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</si>
  <si>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</si>
  <si>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ADEISO</t>
  </si>
  <si>
    <t>KOFORIDUA ABOAB</t>
  </si>
  <si>
    <t>ASONA</t>
  </si>
  <si>
    <t>AKIM MANSO</t>
  </si>
  <si>
    <t>ASONKORE</t>
  </si>
  <si>
    <t>YAW NKRUMAH</t>
  </si>
  <si>
    <t>ESSIENIMPONG</t>
  </si>
  <si>
    <t>TREDE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</si>
  <si>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</si>
  <si>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</si>
  <si>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</si>
  <si>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</si>
  <si>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</si>
  <si>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</si>
  <si>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</si>
  <si>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</si>
  <si>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</si>
  <si>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</si>
  <si>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</si>
  <si>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</si>
  <si>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</si>
  <si>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</si>
  <si>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</si>
  <si>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</si>
  <si>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</si>
  <si>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</si>
  <si>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</si>
  <si>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</si>
  <si>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</si>
  <si>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</si>
  <si>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</si>
  <si>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</si>
  <si>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</si>
  <si>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</si>
  <si>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</si>
  <si>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</si>
  <si>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</si>
  <si>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</si>
  <si>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</si>
  <si>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</si>
  <si>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</si>
  <si>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</si>
  <si>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</si>
  <si>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</si>
  <si>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</si>
  <si>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</si>
  <si>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</si>
  <si>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</si>
  <si>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MANKESSIM # 4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</si>
  <si>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</si>
  <si>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</si>
  <si>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</si>
  <si>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</si>
  <si>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</si>
  <si>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</si>
  <si>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</si>
  <si>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</si>
  <si>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</si>
  <si>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</si>
  <si>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</si>
  <si>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</si>
  <si>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</si>
  <si>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</si>
  <si>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</si>
  <si>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</si>
  <si>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</si>
  <si>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</si>
  <si>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</si>
  <si>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</si>
  <si>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</si>
  <si>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</si>
  <si>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</si>
  <si>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</si>
  <si>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</si>
  <si>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ABOSSEY OKAI</t>
  </si>
  <si>
    <t>BIBIANI KWAMEKROM</t>
  </si>
  <si>
    <t>−15,682.83</t>
  </si>
  <si>
    <t>TOTAL</t>
  </si>
  <si>
    <t>NEGATIVE VARIATION REPORT AS AT 20/11/2024</t>
  </si>
  <si>
    <t>NEGATIVE VARIATION REPORT AS AT 21/11/2024</t>
  </si>
  <si>
    <t>DIFF. AS COMPARED TO 20/11/2024</t>
  </si>
  <si>
    <t>WESTERN NORTH</t>
  </si>
  <si>
    <r>
      <rPr>
        <b/>
        <sz val="12"/>
        <color theme="1"/>
        <rFont val="Times New Roman"/>
        <family val="1"/>
      </rPr>
      <t>PMS (17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>-23</t>
    </r>
    <r>
      <rPr>
        <b/>
        <vertAlign val="superscript"/>
        <sz val="12"/>
        <color theme="1"/>
        <rFont val="Times New Roman"/>
        <family val="1"/>
      </rPr>
      <t>rd</t>
    </r>
    <r>
      <rPr>
        <b/>
        <sz val="12"/>
        <color theme="1"/>
        <rFont val="Times New Roman"/>
        <family val="1"/>
      </rPr>
      <t xml:space="preserve"> March)</t>
    </r>
  </si>
  <si>
    <r>
      <rPr>
        <b/>
        <sz val="12"/>
        <color theme="1"/>
        <rFont val="Times New Roman"/>
        <family val="1"/>
      </rPr>
      <t>AGO (17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>-23</t>
    </r>
    <r>
      <rPr>
        <b/>
        <vertAlign val="superscript"/>
        <sz val="12"/>
        <color theme="1"/>
        <rFont val="Times New Roman"/>
        <family val="1"/>
      </rPr>
      <t>rd</t>
    </r>
    <r>
      <rPr>
        <b/>
        <sz val="12"/>
        <color theme="1"/>
        <rFont val="Times New Roman"/>
        <family val="1"/>
      </rPr>
      <t xml:space="preserve"> March)</t>
    </r>
  </si>
  <si>
    <r>
      <rPr>
        <b/>
        <sz val="12"/>
        <color theme="1"/>
        <rFont val="Times New Roman"/>
        <family val="1"/>
      </rPr>
      <t>TOTAL (17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>-23</t>
    </r>
    <r>
      <rPr>
        <b/>
        <vertAlign val="superscript"/>
        <sz val="12"/>
        <color theme="1"/>
        <rFont val="Times New Roman"/>
        <family val="1"/>
      </rPr>
      <t>rd</t>
    </r>
    <r>
      <rPr>
        <b/>
        <sz val="12"/>
        <color theme="1"/>
        <rFont val="Times New Roman"/>
        <family val="1"/>
      </rPr>
      <t xml:space="preserve"> March) </t>
    </r>
  </si>
  <si>
    <r>
      <rPr>
        <b/>
        <sz val="12"/>
        <color theme="1"/>
        <rFont val="Times New Roman"/>
        <family val="1"/>
      </rPr>
      <t>Previous Week (10</t>
    </r>
    <r>
      <rPr>
        <b/>
        <vertAlign val="superscript"/>
        <sz val="12"/>
        <color theme="1"/>
        <rFont val="Times New Roman"/>
        <family val="1"/>
      </rPr>
      <t xml:space="preserve">th </t>
    </r>
    <r>
      <rPr>
        <b/>
        <sz val="12"/>
        <color theme="1"/>
        <rFont val="Times New Roman"/>
        <family val="1"/>
      </rPr>
      <t>- 16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March) </t>
    </r>
  </si>
  <si>
    <t>Decrease / Increase (Previous Week)</t>
  </si>
  <si>
    <t>S/NO.</t>
  </si>
  <si>
    <t>ZONE</t>
  </si>
  <si>
    <t>FINAL DIFFERENCE</t>
  </si>
  <si>
    <t>CUMMULATIVE</t>
  </si>
  <si>
    <t>AXIM NYAMEBEKYERE</t>
  </si>
  <si>
    <t>S/N</t>
  </si>
  <si>
    <t>Station</t>
  </si>
  <si>
    <t>ACCRA CENTRAL</t>
  </si>
  <si>
    <t>TERTREM</t>
  </si>
  <si>
    <t>*</t>
  </si>
  <si>
    <r>
      <rPr>
        <sz val="11"/>
        <color rgb="FF000000"/>
        <rFont val="Times New Roman"/>
        <family val="1"/>
      </rPr>
      <t>19394.05</t>
    </r>
    <r>
      <rPr>
        <sz val="12"/>
        <color rgb="FF000000"/>
        <rFont val="Times New Roman"/>
        <family val="1"/>
      </rPr>
      <t> </t>
    </r>
  </si>
  <si>
    <t>ACCRA EAST</t>
  </si>
  <si>
    <t>BORTIANO</t>
  </si>
  <si>
    <t>BORTIANOR</t>
  </si>
  <si>
    <t>EASTERN</t>
  </si>
  <si>
    <t>KOFORIDUA ABOABO</t>
  </si>
  <si>
    <t>ADIESO</t>
  </si>
  <si>
    <t>ASANTI CENTRAL</t>
  </si>
  <si>
    <t>ASHANTI CENTRAL</t>
  </si>
  <si>
    <t>AKSPOLISO</t>
  </si>
  <si>
    <t>ASHANTI NORTH</t>
  </si>
  <si>
    <t>ASHANTI SOUTH</t>
  </si>
  <si>
    <t>B A CENTRAL</t>
  </si>
  <si>
    <t>BONO EAST</t>
  </si>
  <si>
    <t>MANKESSIM #1</t>
  </si>
  <si>
    <t>CENTRAL EAST</t>
  </si>
  <si>
    <t>MANKESSIM NKWA</t>
  </si>
  <si>
    <t>CENTRAL SOUTH</t>
  </si>
  <si>
    <t>−7,990.88</t>
  </si>
  <si>
    <t>CENTRAL WEST</t>
  </si>
  <si>
    <t>POSITIVE VARIATION REPORT AS AT 20/11/2024</t>
  </si>
  <si>
    <t>POSITIVE VARIATION REPORT AS AT 21/11/2024</t>
  </si>
  <si>
    <t>−8,090.43</t>
  </si>
  <si>
    <t>NEGATIVE VARIATION REPORT AS AT 22/11/2024</t>
  </si>
  <si>
    <t>DIFF. AS COMPARED TO 21/11/2024</t>
  </si>
  <si>
    <t>POSITIVE VARIATION REPORT AS AT 22/11/2024</t>
  </si>
  <si>
    <t>−8,111.93</t>
  </si>
  <si>
    <t>NEGATIVE VARIATION REPORT AS AT 23/11/2024</t>
  </si>
  <si>
    <t>DIFF. AS COMPARED TO 22/11/2024</t>
  </si>
  <si>
    <t>POSITIVE VARIATION REPORT AS AT 23/11/2024</t>
  </si>
  <si>
    <t>NEGATIVE VARIATION REPORT AS AT 24/11/2024</t>
  </si>
  <si>
    <t>DIFF. AS COMPARED TO 23/11/2024</t>
  </si>
  <si>
    <t>POSITIVE VARIATION REPORT AS AT 24/11/2024</t>
  </si>
  <si>
    <t>NEGATIVE VARIATION REPORT AS AT 25/11/2024</t>
  </si>
  <si>
    <t>DIFF. AS COMPARED TO 24/11/2024</t>
  </si>
  <si>
    <t>POSITIVE VARIATION REPORT AS AT 25/11/2024</t>
  </si>
  <si>
    <t>NEGATIVE VARIATION REPORT AS AT 3/9/2025</t>
  </si>
  <si>
    <t>NEGATIVE VARIATION REPORT AS AT 4/9/2025</t>
  </si>
  <si>
    <t>DIFF. AS COMPARED TO 3/9/2025</t>
  </si>
  <si>
    <t>POSITIVE VARIATION REPORT AS AT 3/9/2025</t>
  </si>
  <si>
    <t>POSITIVE VARIATION REPORT AS AT 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</si>
</sst>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_);[Red]\(0.00\)"/>
  </numFmts>
  <fonts count="13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2.5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40" fontId="0" fillId="0" borderId="0" xfId="0" applyNumberFormat="1"/>
    <xf numFmtId="0" fontId="3" fillId="0" borderId="0" xfId="0" applyFont="1"/>
    <xf numFmtId="0" fontId="2" fillId="0" borderId="0" xfId="0" applyFont="1"/>
    <xf numFmtId="4" fontId="0" fillId="0" borderId="0" xfId="0" applyNumberFormat="1"/>
    <xf numFmtId="4" fontId="6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2" fontId="1" fillId="2" borderId="0" xfId="0" applyNumberFormat="1" applyFont="1" applyFill="1"/>
    <xf numFmtId="0" fontId="4" fillId="0" borderId="0" xfId="0" applyFont="1"/>
    <xf numFmtId="40" fontId="8" fillId="0" borderId="0" xfId="0" applyNumberFormat="1" applyFont="1"/>
    <xf numFmtId="0" fontId="6" fillId="0" borderId="4" xfId="0" applyFont="1" applyBorder="1" applyAlignment="1">
      <alignment horizontal="justify" vertical="center" wrapText="1"/>
    </xf>
    <xf numFmtId="40" fontId="3" fillId="0" borderId="0" xfId="0" applyNumberFormat="1" applyFont="1"/>
    <xf numFmtId="0" fontId="7" fillId="0" borderId="2" xfId="0" applyFont="1" applyBorder="1" applyAlignment="1">
      <alignment horizontal="justify" vertical="justify"/>
    </xf>
    <xf numFmtId="0" fontId="7" fillId="0" borderId="6" xfId="0" applyFont="1" applyBorder="1" applyAlignment="1">
      <alignment horizontal="justify" vertical="justify"/>
    </xf>
    <xf numFmtId="0" fontId="6" fillId="0" borderId="17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0" fillId="0" borderId="2" xfId="0" applyBorder="1"/>
    <xf numFmtId="0" fontId="7" fillId="0" borderId="3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justify"/>
    </xf>
    <xf numFmtId="0" fontId="7" fillId="0" borderId="19" xfId="0" applyFont="1" applyBorder="1" applyAlignment="1">
      <alignment horizontal="justify" vertical="justify"/>
    </xf>
    <xf numFmtId="0" fontId="7" fillId="0" borderId="17" xfId="0" applyFont="1" applyBorder="1" applyAlignment="1">
      <alignment horizontal="justify" vertical="justify"/>
    </xf>
    <xf numFmtId="0" fontId="7" fillId="0" borderId="3" xfId="0" applyFont="1" applyBorder="1" applyAlignment="1">
      <alignment horizontal="justify" vertical="justify"/>
    </xf>
    <xf numFmtId="0" fontId="4" fillId="0" borderId="4" xfId="0" applyFont="1" applyBorder="1" applyAlignment="1">
      <alignment vertical="top"/>
    </xf>
    <xf numFmtId="0" fontId="6" fillId="0" borderId="12" xfId="0" applyFont="1" applyBorder="1" applyAlignment="1">
      <alignment horizontal="left" vertical="top"/>
    </xf>
    <xf numFmtId="0" fontId="7" fillId="0" borderId="2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4" fontId="5" fillId="0" borderId="5" xfId="0" applyNumberFormat="1" applyFont="1" applyBorder="1" applyAlignment="1">
      <alignment horizontal="right" vertical="center" wrapText="1"/>
    </xf>
    <xf numFmtId="1" fontId="5" fillId="0" borderId="0" xfId="0" applyNumberFormat="1" applyFont="1" applyAlignment="1">
      <alignment horizontal="center" vertical="top"/>
    </xf>
    <xf numFmtId="40" fontId="3" fillId="0" borderId="6" xfId="0" applyNumberFormat="1" applyFont="1" applyBorder="1"/>
    <xf numFmtId="40" fontId="4" fillId="0" borderId="6" xfId="0" applyNumberFormat="1" applyFont="1" applyBorder="1"/>
    <xf numFmtId="1" fontId="5" fillId="0" borderId="6" xfId="0" applyNumberFormat="1" applyFont="1" applyBorder="1" applyAlignment="1">
      <alignment horizontal="center" vertical="top"/>
    </xf>
    <xf numFmtId="40" fontId="0" fillId="0" borderId="6" xfId="0" applyNumberFormat="1" applyBorder="1"/>
    <xf numFmtId="40" fontId="4" fillId="0" borderId="17" xfId="0" applyNumberFormat="1" applyFont="1" applyBorder="1"/>
    <xf numFmtId="0" fontId="4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right" vertical="center" wrapText="1"/>
    </xf>
    <xf numFmtId="40" fontId="3" fillId="0" borderId="17" xfId="0" applyNumberFormat="1" applyFont="1" applyBorder="1"/>
    <xf numFmtId="1" fontId="5" fillId="0" borderId="17" xfId="0" applyNumberFormat="1" applyFont="1" applyBorder="1" applyAlignment="1">
      <alignment horizontal="center" vertical="top"/>
    </xf>
    <xf numFmtId="40" fontId="0" fillId="0" borderId="17" xfId="0" applyNumberFormat="1" applyBorder="1"/>
    <xf numFmtId="4" fontId="9" fillId="0" borderId="5" xfId="0" applyNumberFormat="1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top"/>
    </xf>
    <xf numFmtId="40" fontId="4" fillId="0" borderId="4" xfId="0" applyNumberFormat="1" applyFont="1" applyBorder="1"/>
    <xf numFmtId="0" fontId="6" fillId="3" borderId="17" xfId="0" applyFont="1" applyFill="1" applyBorder="1" applyAlignment="1">
      <alignment horizontal="left" vertical="top"/>
    </xf>
    <xf numFmtId="0" fontId="6" fillId="3" borderId="19" xfId="0" applyFont="1" applyFill="1" applyBorder="1" applyAlignment="1">
      <alignment horizontal="left" vertical="top"/>
    </xf>
    <xf numFmtId="0" fontId="6" fillId="0" borderId="17" xfId="0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4" fillId="0" borderId="19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1" fontId="5" fillId="0" borderId="4" xfId="0" applyNumberFormat="1" applyFont="1" applyBorder="1" applyAlignment="1">
      <alignment horizontal="center" vertical="top"/>
    </xf>
    <xf numFmtId="40" fontId="3" fillId="0" borderId="4" xfId="0" applyNumberFormat="1" applyFont="1" applyBorder="1"/>
    <xf numFmtId="40" fontId="0" fillId="0" borderId="4" xfId="0" applyNumberFormat="1" applyBorder="1"/>
    <xf numFmtId="0" fontId="4" fillId="0" borderId="8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40" fontId="7" fillId="0" borderId="2" xfId="0" applyNumberFormat="1" applyFont="1" applyBorder="1"/>
    <xf numFmtId="0" fontId="7" fillId="0" borderId="9" xfId="0" applyFont="1" applyBorder="1"/>
    <xf numFmtId="0" fontId="4" fillId="0" borderId="0" xfId="0" applyFont="1" applyAlignment="1">
      <alignment vertical="top"/>
    </xf>
    <xf numFmtId="40" fontId="7" fillId="0" borderId="0" xfId="0" applyNumberFormat="1" applyFont="1"/>
    <xf numFmtId="0" fontId="7" fillId="0" borderId="7" xfId="0" applyFont="1" applyBorder="1" applyAlignment="1">
      <alignment horizontal="justify" vertical="justify"/>
    </xf>
    <xf numFmtId="0" fontId="7" fillId="0" borderId="22" xfId="0" applyFont="1" applyBorder="1" applyAlignment="1">
      <alignment horizontal="center" vertical="center"/>
    </xf>
    <xf numFmtId="40" fontId="3" fillId="0" borderId="14" xfId="0" applyNumberFormat="1" applyFont="1" applyBorder="1"/>
    <xf numFmtId="40" fontId="4" fillId="0" borderId="7" xfId="0" applyNumberFormat="1" applyFont="1" applyBorder="1" applyAlignment="1">
      <alignment horizontal="right" vertical="center"/>
    </xf>
    <xf numFmtId="0" fontId="7" fillId="0" borderId="23" xfId="0" applyFont="1" applyBorder="1" applyAlignment="1">
      <alignment horizontal="justify" vertical="justify"/>
    </xf>
    <xf numFmtId="0" fontId="7" fillId="0" borderId="21" xfId="0" applyFont="1" applyBorder="1" applyAlignment="1">
      <alignment horizontal="center" vertical="center"/>
    </xf>
    <xf numFmtId="40" fontId="4" fillId="0" borderId="0" xfId="0" applyNumberFormat="1" applyFont="1" applyAlignment="1">
      <alignment horizontal="right" vertical="justify"/>
    </xf>
    <xf numFmtId="40" fontId="4" fillId="0" borderId="24" xfId="0" applyNumberFormat="1" applyFont="1" applyBorder="1"/>
    <xf numFmtId="0" fontId="7" fillId="0" borderId="18" xfId="0" applyFont="1" applyBorder="1" applyAlignment="1">
      <alignment horizontal="center" vertical="center"/>
    </xf>
    <xf numFmtId="166" fontId="3" fillId="0" borderId="13" xfId="0" applyNumberFormat="1" applyFont="1" applyBorder="1"/>
    <xf numFmtId="40" fontId="4" fillId="0" borderId="20" xfId="0" applyNumberFormat="1" applyFont="1" applyBorder="1" applyAlignment="1">
      <alignment horizontal="right" vertical="center"/>
    </xf>
    <xf numFmtId="0" fontId="7" fillId="0" borderId="24" xfId="0" applyFont="1" applyBorder="1" applyAlignment="1">
      <alignment horizontal="justify" vertical="justify"/>
    </xf>
    <xf numFmtId="0" fontId="7" fillId="0" borderId="0" xfId="0" applyFont="1" applyAlignment="1">
      <alignment horizontal="center" vertical="center"/>
    </xf>
    <xf numFmtId="40" fontId="3" fillId="0" borderId="13" xfId="0" applyNumberFormat="1" applyFont="1" applyBorder="1"/>
    <xf numFmtId="0" fontId="4" fillId="0" borderId="24" xfId="0" applyFont="1" applyBorder="1"/>
    <xf numFmtId="0" fontId="6" fillId="0" borderId="15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0" fillId="0" borderId="17" xfId="0" applyBorder="1"/>
    <xf numFmtId="0" fontId="6" fillId="0" borderId="26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4" fillId="0" borderId="14" xfId="0" applyFont="1" applyBorder="1" applyAlignment="1">
      <alignment vertical="top"/>
    </xf>
    <xf numFmtId="0" fontId="6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vertical="top"/>
    </xf>
    <xf numFmtId="0" fontId="7" fillId="0" borderId="0" xfId="0" applyFont="1"/>
    <xf numFmtId="0" fontId="4" fillId="0" borderId="16" xfId="0" applyFont="1" applyBorder="1"/>
    <xf numFmtId="40" fontId="3" fillId="0" borderId="16" xfId="0" applyNumberFormat="1" applyFont="1" applyBorder="1"/>
    <xf numFmtId="0" fontId="4" fillId="0" borderId="27" xfId="0" applyFont="1" applyBorder="1"/>
    <xf numFmtId="0" fontId="4" fillId="0" borderId="2" xfId="0" applyFont="1" applyBorder="1"/>
    <xf numFmtId="0" fontId="7" fillId="0" borderId="8" xfId="0" applyFont="1" applyBorder="1" applyAlignment="1">
      <alignment vertical="top"/>
    </xf>
    <xf numFmtId="0" fontId="4" fillId="0" borderId="3" xfId="0" applyFont="1" applyBorder="1"/>
    <xf numFmtId="40" fontId="7" fillId="0" borderId="4" xfId="0" applyNumberFormat="1" applyFont="1" applyBorder="1"/>
    <xf numFmtId="0" fontId="7" fillId="0" borderId="1" xfId="0" applyFont="1" applyBorder="1"/>
    <xf numFmtId="0" fontId="7" fillId="0" borderId="2" xfId="0" applyFont="1" applyBorder="1"/>
    <xf numFmtId="0" fontId="6" fillId="0" borderId="7" xfId="0" applyFont="1" applyBorder="1" applyAlignment="1">
      <alignment horizontal="left" vertical="top"/>
    </xf>
    <xf numFmtId="0" fontId="4" fillId="0" borderId="6" xfId="0" applyFont="1" applyBorder="1"/>
    <xf numFmtId="1" fontId="5" fillId="0" borderId="7" xfId="0" applyNumberFormat="1" applyFont="1" applyBorder="1" applyAlignment="1">
      <alignment horizontal="center" vertical="top"/>
    </xf>
    <xf numFmtId="0" fontId="4" fillId="0" borderId="7" xfId="0" applyFont="1" applyBorder="1"/>
    <xf numFmtId="0" fontId="4" fillId="0" borderId="17" xfId="0" applyFont="1" applyBorder="1"/>
    <xf numFmtId="0" fontId="4" fillId="0" borderId="20" xfId="0" applyFont="1" applyBorder="1"/>
    <xf numFmtId="40" fontId="2" fillId="0" borderId="0" xfId="0" applyNumberFormat="1" applyFont="1"/>
    <xf numFmtId="40" fontId="11" fillId="0" borderId="17" xfId="0" applyNumberFormat="1" applyFont="1" applyBorder="1"/>
    <xf numFmtId="0" fontId="4" fillId="0" borderId="5" xfId="0" applyFont="1" applyBorder="1"/>
    <xf numFmtId="0" fontId="4" fillId="0" borderId="4" xfId="0" applyFont="1" applyBorder="1"/>
    <xf numFmtId="0" fontId="0" fillId="0" borderId="4" xfId="0" applyBorder="1"/>
    <xf numFmtId="0" fontId="7" fillId="0" borderId="8" xfId="0" applyFont="1" applyBorder="1" applyAlignment="1">
      <alignment horizontal="justify" vertical="justify"/>
    </xf>
    <xf numFmtId="0" fontId="7" fillId="0" borderId="6" xfId="0" applyFont="1" applyBorder="1" applyAlignment="1">
      <alignment horizontal="center" vertical="center"/>
    </xf>
    <xf numFmtId="40" fontId="4" fillId="0" borderId="11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justify" vertical="justify"/>
    </xf>
    <xf numFmtId="40" fontId="4" fillId="0" borderId="0" xfId="0" applyNumberFormat="1" applyFont="1" applyAlignment="1">
      <alignment horizontal="right" vertical="center"/>
    </xf>
    <xf numFmtId="0" fontId="7" fillId="0" borderId="13" xfId="0" applyFont="1" applyBorder="1" applyAlignment="1">
      <alignment horizontal="justify" vertical="justify"/>
    </xf>
    <xf numFmtId="0" fontId="7" fillId="0" borderId="17" xfId="0" applyFont="1" applyBorder="1" applyAlignment="1">
      <alignment horizontal="center" vertical="center"/>
    </xf>
    <xf numFmtId="40" fontId="2" fillId="0" borderId="17" xfId="0" applyNumberFormat="1" applyFont="1" applyBorder="1"/>
    <xf numFmtId="0" fontId="4" fillId="0" borderId="13" xfId="0" applyFont="1" applyBorder="1"/>
    <xf numFmtId="0" fontId="6" fillId="0" borderId="20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4" fontId="4" fillId="0" borderId="21" xfId="0" applyNumberFormat="1" applyFont="1" applyBorder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6" fillId="0" borderId="20" xfId="0" applyFont="1" applyBorder="1" applyAlignment="1">
      <alignment vertical="top"/>
    </xf>
    <xf numFmtId="0" fontId="4" fillId="0" borderId="0" xfId="0" applyFont="1" applyAlignment="1">
      <alignment vertical="center" wrapText="1"/>
    </xf>
    <xf numFmtId="0" fontId="6" fillId="0" borderId="5" xfId="0" applyFont="1" applyBorder="1" applyAlignment="1">
      <alignment vertical="top" wrapText="1"/>
    </xf>
    <xf numFmtId="0" fontId="4" fillId="0" borderId="20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7" fillId="0" borderId="4" xfId="0" applyFont="1" applyBorder="1" applyAlignment="1">
      <alignment horizontal="center" vertical="center"/>
    </xf>
    <xf numFmtId="40" fontId="7" fillId="0" borderId="3" xfId="0" applyNumberFormat="1" applyFont="1" applyBorder="1"/>
    <xf numFmtId="0" fontId="7" fillId="0" borderId="8" xfId="0" applyFont="1" applyBorder="1" applyAlignment="1">
      <alignment horizontal="center" vertical="justify"/>
    </xf>
    <xf numFmtId="0" fontId="7" fillId="0" borderId="9" xfId="0" applyFont="1" applyBorder="1" applyAlignment="1">
      <alignment horizontal="center" vertical="justify"/>
    </xf>
    <xf numFmtId="0" fontId="7" fillId="0" borderId="3" xfId="0" applyFont="1" applyBorder="1" applyAlignment="1">
      <alignment horizontal="center" vertical="justify"/>
    </xf>
    <xf numFmtId="0" fontId="7" fillId="0" borderId="6" xfId="0" applyFont="1" applyBorder="1" applyAlignment="1">
      <alignment horizontal="justify" vertical="justify"/>
    </xf>
    <xf numFmtId="0" fontId="7" fillId="0" borderId="4" xfId="0" applyFont="1" applyBorder="1" applyAlignment="1">
      <alignment horizontal="justify" vertical="justify"/>
    </xf>
    <xf numFmtId="0" fontId="7" fillId="0" borderId="6" xfId="0" applyFont="1" applyBorder="1" applyAlignment="1">
      <alignment horizontal="center" vertical="justify"/>
    </xf>
    <xf numFmtId="0" fontId="7" fillId="0" borderId="4" xfId="0" applyFont="1" applyBorder="1" applyAlignment="1">
      <alignment horizontal="center" vertical="justify"/>
    </xf>
    <xf numFmtId="0" fontId="4" fillId="0" borderId="0" xfId="0" applyFont="1" applyBorder="1" applyAlignment="1">
      <alignment vertical="top"/>
    </xf>
    <xf numFmtId="40" fontId="0" fillId="0" borderId="0" xfId="0" applyNumberFormat="1" applyBorder="1"/>
    <xf numFmtId="0" fontId="0" fillId="0" borderId="0" xfId="0" applyBorder="1"/>
    <xf numFmtId="0" fontId="6" fillId="0" borderId="0" xfId="0" applyFont="1" applyBorder="1" applyAlignment="1">
      <alignment horizontal="left" vertical="top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1454817346722"/>
    <pageSetUpPr fitToPage="1"/>
  </sheetPr>
  <dimension ref="A1:AG970"/>
  <sheetViews>
    <sheetView tabSelected="1" topLeftCell="A865" zoomScale="50" zoomScaleNormal="50" workbookViewId="0">
      <selection activeCell="O824" sqref="O824"/>
    </sheetView>
  </sheetViews>
  <sheetFormatPr defaultColWidth="9" defaultRowHeight="15"/>
  <cols>
    <col min="1" max="1" width="9.140625" customWidth="1"/>
    <col min="2" max="2" width="19.42578125" customWidth="1"/>
    <col min="3" max="3" width="22.7109375" customWidth="1"/>
    <col min="4" max="4" width="18" customWidth="1"/>
    <col min="5" max="5" width="20.140625" customWidth="1"/>
    <col min="7" max="7" width="9.140625" customWidth="1"/>
    <col min="8" max="8" width="18.5703125" customWidth="1"/>
    <col min="9" max="9" width="25.7109375" customWidth="1"/>
    <col min="10" max="10" width="15.5703125" customWidth="1"/>
    <col min="11" max="11" width="22.28515625" customWidth="1"/>
    <col min="12" max="12" width="24.85546875" customWidth="1"/>
    <col min="13" max="13" width="14.5703125" customWidth="1"/>
    <col min="14" max="14" width="26.7109375" customWidth="1"/>
    <col min="15" max="15" width="18.5703125" customWidth="1"/>
    <col min="16" max="16" width="13.7109375" customWidth="1"/>
    <col min="17" max="17" width="11.42578125" customWidth="1"/>
    <col min="19" max="19" width="12.5703125" customWidth="1"/>
    <col min="27" max="27" width="27" customWidth="1"/>
    <col min="29" max="29" width="12.42578125" customWidth="1"/>
    <col min="30" max="30" width="11.7109375" customWidth="1"/>
    <col min="31" max="31" width="13.140625" customWidth="1"/>
    <col min="32" max="32" width="12.7109375" customWidth="1"/>
    <col min="33" max="33" width="13.7109375" customWidth="1"/>
  </cols>
  <sheetData>
    <row r="1" spans="1:33" ht="63" hidden="1">
      <c r="A1" s="127" t="s">
        <v>103</v>
      </c>
      <c r="B1" s="128"/>
      <c r="C1" s="128"/>
      <c r="D1" s="128"/>
      <c r="E1" s="129"/>
      <c r="F1" s="12"/>
      <c r="G1" s="127" t="s">
        <v>104</v>
      </c>
      <c r="H1" s="128"/>
      <c r="I1" s="128"/>
      <c r="J1" s="128"/>
      <c r="K1" s="129"/>
      <c r="L1" s="130" t="s">
        <v>105</v>
      </c>
      <c r="M1" s="8"/>
      <c r="N1" s="14" t="s">
        <v>96</v>
      </c>
      <c r="O1" s="15" t="s">
        <v>106</v>
      </c>
      <c r="P1" s="11">
        <v>4299.28</v>
      </c>
      <c r="AB1" s="16"/>
      <c r="AC1" s="17" t="s">
        <v>107</v>
      </c>
      <c r="AD1" s="17" t="s">
        <v>108</v>
      </c>
      <c r="AE1" s="17" t="s">
        <v>109</v>
      </c>
      <c r="AF1" s="17" t="s">
        <v>110</v>
      </c>
      <c r="AG1" s="17" t="s">
        <v>111</v>
      </c>
    </row>
    <row r="2" spans="1:33" ht="30.6" hidden="1" customHeight="1">
      <c r="A2" s="18" t="s">
        <v>112</v>
      </c>
      <c r="B2" s="19" t="s">
        <v>0</v>
      </c>
      <c r="C2" s="20" t="s">
        <v>113</v>
      </c>
      <c r="D2" s="20" t="s">
        <v>114</v>
      </c>
      <c r="E2" s="20" t="s">
        <v>115</v>
      </c>
      <c r="F2" s="21"/>
      <c r="G2" s="12" t="s">
        <v>112</v>
      </c>
      <c r="H2" s="12" t="s">
        <v>0</v>
      </c>
      <c r="I2" s="12" t="s">
        <v>113</v>
      </c>
      <c r="J2" s="12" t="s">
        <v>114</v>
      </c>
      <c r="K2" s="12" t="s">
        <v>115</v>
      </c>
      <c r="L2" s="131"/>
      <c r="M2" s="8"/>
      <c r="N2" s="22" t="s">
        <v>116</v>
      </c>
      <c r="O2" s="23" t="s">
        <v>106</v>
      </c>
      <c r="P2" s="11">
        <v>98.4</v>
      </c>
      <c r="R2" s="24" t="s">
        <v>117</v>
      </c>
      <c r="S2" s="17" t="s">
        <v>118</v>
      </c>
      <c r="T2" s="17" t="s">
        <v>107</v>
      </c>
      <c r="U2" s="17" t="s">
        <v>108</v>
      </c>
      <c r="V2" s="17" t="s">
        <v>109</v>
      </c>
      <c r="W2" s="17" t="s">
        <v>110</v>
      </c>
      <c r="X2" s="17" t="s">
        <v>111</v>
      </c>
      <c r="AA2" s="25" t="s">
        <v>1</v>
      </c>
      <c r="AB2" s="26" t="s">
        <v>119</v>
      </c>
      <c r="AC2" s="5">
        <v>2069.4499999999998</v>
      </c>
      <c r="AD2" s="5">
        <v>1986.43</v>
      </c>
      <c r="AE2" s="27">
        <v>4055.88</v>
      </c>
      <c r="AF2" s="27">
        <v>3987.57</v>
      </c>
      <c r="AG2" s="6">
        <v>68.31</v>
      </c>
    </row>
    <row r="3" spans="1:33" ht="31.5" hidden="1">
      <c r="A3" s="28">
        <v>1</v>
      </c>
      <c r="B3" s="25" t="s">
        <v>1</v>
      </c>
      <c r="C3" s="26" t="s">
        <v>119</v>
      </c>
      <c r="D3" s="29">
        <v>-4294.07</v>
      </c>
      <c r="E3" s="30">
        <f>D3</f>
        <v>-4294.07</v>
      </c>
      <c r="F3" s="8"/>
      <c r="G3" s="31">
        <v>1</v>
      </c>
      <c r="H3" s="25" t="s">
        <v>1</v>
      </c>
      <c r="I3" s="26" t="s">
        <v>119</v>
      </c>
      <c r="J3" s="32">
        <v>-4103.2700000000004</v>
      </c>
      <c r="K3" s="30">
        <f>J3</f>
        <v>-4103.2700000000004</v>
      </c>
      <c r="L3" s="33">
        <f t="shared" ref="L3:L66" si="0">J3-D3</f>
        <v>190.79999999999899</v>
      </c>
      <c r="M3" s="8"/>
      <c r="N3" s="8" t="s">
        <v>120</v>
      </c>
      <c r="O3" s="23" t="s">
        <v>106</v>
      </c>
      <c r="P3" s="11">
        <v>-1680.7</v>
      </c>
      <c r="R3" s="34">
        <v>1</v>
      </c>
      <c r="S3" s="35" t="s">
        <v>19</v>
      </c>
      <c r="T3" s="5">
        <v>1660.3</v>
      </c>
      <c r="U3" s="6">
        <v>577.07000000000005</v>
      </c>
      <c r="V3" s="27">
        <v>2237.37</v>
      </c>
      <c r="W3" s="27">
        <v>2304.6999999999998</v>
      </c>
      <c r="X3" s="36">
        <v>-67.33</v>
      </c>
      <c r="Y3" t="s">
        <v>121</v>
      </c>
      <c r="AA3" s="14" t="s">
        <v>2</v>
      </c>
      <c r="AB3" s="15" t="s">
        <v>119</v>
      </c>
      <c r="AC3" s="5">
        <v>1493.83</v>
      </c>
      <c r="AD3" s="6">
        <v>296.47000000000003</v>
      </c>
      <c r="AE3" s="27">
        <v>1790.3</v>
      </c>
      <c r="AF3" s="27">
        <v>1717.03</v>
      </c>
      <c r="AG3" s="6">
        <v>73.27</v>
      </c>
    </row>
    <row r="4" spans="1:33" ht="15.75" hidden="1">
      <c r="A4" s="28">
        <v>2</v>
      </c>
      <c r="B4" s="14" t="s">
        <v>2</v>
      </c>
      <c r="C4" s="15" t="s">
        <v>119</v>
      </c>
      <c r="D4" s="37">
        <v>-1890.6</v>
      </c>
      <c r="E4" s="33">
        <f>E3+D4</f>
        <v>-6184.67</v>
      </c>
      <c r="F4" s="8"/>
      <c r="G4" s="38">
        <v>2</v>
      </c>
      <c r="H4" s="14" t="s">
        <v>2</v>
      </c>
      <c r="I4" s="15" t="s">
        <v>119</v>
      </c>
      <c r="J4" s="39">
        <v>-1866.5</v>
      </c>
      <c r="K4" s="33">
        <f>K3+J4</f>
        <v>-5969.77</v>
      </c>
      <c r="L4" s="33">
        <f t="shared" si="0"/>
        <v>24.099999999999898</v>
      </c>
      <c r="M4" s="8"/>
      <c r="N4" s="8"/>
      <c r="O4" s="8"/>
      <c r="P4" s="8"/>
      <c r="R4" s="10">
        <v>2</v>
      </c>
      <c r="S4" s="35" t="s">
        <v>41</v>
      </c>
      <c r="T4" s="5">
        <v>1489.05</v>
      </c>
      <c r="U4" s="6">
        <v>856.94</v>
      </c>
      <c r="V4" s="27">
        <v>2345.9899999999998</v>
      </c>
      <c r="W4" s="27">
        <v>2096.5700000000002</v>
      </c>
      <c r="X4" s="6">
        <v>249.42</v>
      </c>
      <c r="Y4" t="s">
        <v>121</v>
      </c>
      <c r="AA4" s="14" t="s">
        <v>3</v>
      </c>
      <c r="AB4" s="15" t="s">
        <v>119</v>
      </c>
      <c r="AC4" s="5">
        <v>1473.75</v>
      </c>
      <c r="AD4" s="6">
        <v>260.77999999999997</v>
      </c>
      <c r="AE4" s="27">
        <v>1734.53</v>
      </c>
      <c r="AF4" s="27">
        <v>1934.83</v>
      </c>
      <c r="AG4" s="36">
        <v>-200.3</v>
      </c>
    </row>
    <row r="5" spans="1:33" ht="15.75" hidden="1">
      <c r="A5" s="28">
        <v>3</v>
      </c>
      <c r="B5" s="14" t="s">
        <v>3</v>
      </c>
      <c r="C5" s="15" t="s">
        <v>119</v>
      </c>
      <c r="D5" s="37">
        <v>-586.85</v>
      </c>
      <c r="E5" s="33">
        <f t="shared" ref="E5:E68" si="1">E4+D5</f>
        <v>-6771.52</v>
      </c>
      <c r="F5" s="8"/>
      <c r="G5" s="38">
        <v>3</v>
      </c>
      <c r="H5" s="14" t="s">
        <v>3</v>
      </c>
      <c r="I5" s="15" t="s">
        <v>119</v>
      </c>
      <c r="J5" s="39">
        <v>-453.95</v>
      </c>
      <c r="K5" s="33">
        <f t="shared" ref="K5:K68" si="2">K4+J5</f>
        <v>-6423.72</v>
      </c>
      <c r="L5" s="33">
        <f t="shared" si="0"/>
        <v>132.9</v>
      </c>
      <c r="M5" s="8"/>
      <c r="N5" s="8"/>
      <c r="O5" s="8"/>
      <c r="P5" s="8"/>
      <c r="R5" s="10">
        <v>3</v>
      </c>
      <c r="S5" s="35" t="s">
        <v>51</v>
      </c>
      <c r="T5" s="5">
        <v>7293.83</v>
      </c>
      <c r="U5" s="5">
        <v>8294.23</v>
      </c>
      <c r="V5" s="27">
        <v>15588.06</v>
      </c>
      <c r="W5" s="27">
        <v>17273.009999999998</v>
      </c>
      <c r="X5" s="40">
        <v>-1684.95</v>
      </c>
      <c r="Y5" t="s">
        <v>121</v>
      </c>
      <c r="AA5" s="14" t="s">
        <v>4</v>
      </c>
      <c r="AB5" s="15" t="s">
        <v>119</v>
      </c>
      <c r="AC5" s="5">
        <v>2540.06</v>
      </c>
      <c r="AD5" s="5">
        <v>1049.74</v>
      </c>
      <c r="AE5" s="27">
        <v>3589.8</v>
      </c>
      <c r="AF5" s="27">
        <v>3860.22</v>
      </c>
      <c r="AG5" s="36">
        <v>-270.42</v>
      </c>
    </row>
    <row r="6" spans="1:33" ht="15.75" hidden="1">
      <c r="A6" s="28">
        <v>4</v>
      </c>
      <c r="B6" s="14" t="s">
        <v>4</v>
      </c>
      <c r="C6" s="15" t="s">
        <v>119</v>
      </c>
      <c r="D6" s="37">
        <v>-11409.96</v>
      </c>
      <c r="E6" s="33">
        <f t="shared" si="1"/>
        <v>-18181.48</v>
      </c>
      <c r="F6" s="8"/>
      <c r="G6" s="38">
        <v>4</v>
      </c>
      <c r="H6" s="14" t="s">
        <v>4</v>
      </c>
      <c r="I6" s="15" t="s">
        <v>119</v>
      </c>
      <c r="J6" s="39">
        <v>-11583.76</v>
      </c>
      <c r="K6" s="33">
        <f t="shared" si="2"/>
        <v>-18007.48</v>
      </c>
      <c r="L6" s="33">
        <f t="shared" si="0"/>
        <v>-173.80000000000101</v>
      </c>
      <c r="M6" s="8"/>
      <c r="N6" s="8"/>
      <c r="O6" s="8"/>
      <c r="P6" s="8"/>
      <c r="R6" s="10">
        <v>4</v>
      </c>
      <c r="S6" s="35" t="s">
        <v>47</v>
      </c>
      <c r="T6" s="5">
        <v>4240.04</v>
      </c>
      <c r="U6" s="5">
        <v>17082.14</v>
      </c>
      <c r="V6" s="27">
        <v>21322.18</v>
      </c>
      <c r="W6" s="27">
        <v>19211.68</v>
      </c>
      <c r="X6" s="5">
        <v>2110.5</v>
      </c>
      <c r="Y6" t="s">
        <v>121</v>
      </c>
      <c r="AA6" s="14" t="s">
        <v>6</v>
      </c>
      <c r="AB6" s="15" t="s">
        <v>119</v>
      </c>
      <c r="AC6" s="5">
        <v>4749.7299999999996</v>
      </c>
      <c r="AD6" s="5">
        <v>6354.26</v>
      </c>
      <c r="AE6" s="27">
        <v>11103.99</v>
      </c>
      <c r="AF6" s="27">
        <v>11999.03</v>
      </c>
      <c r="AG6" s="36">
        <v>-895.04</v>
      </c>
    </row>
    <row r="7" spans="1:33" ht="31.5" hidden="1">
      <c r="A7" s="28">
        <v>5</v>
      </c>
      <c r="B7" s="14" t="s">
        <v>5</v>
      </c>
      <c r="C7" s="15" t="s">
        <v>119</v>
      </c>
      <c r="D7" s="37"/>
      <c r="E7" s="33">
        <f t="shared" si="1"/>
        <v>-18181.48</v>
      </c>
      <c r="F7" s="8"/>
      <c r="G7" s="38">
        <v>5</v>
      </c>
      <c r="H7" s="14" t="s">
        <v>5</v>
      </c>
      <c r="I7" s="15" t="s">
        <v>119</v>
      </c>
      <c r="J7" s="39"/>
      <c r="K7" s="33">
        <f t="shared" si="2"/>
        <v>-18007.48</v>
      </c>
      <c r="L7" s="33"/>
      <c r="M7" s="8"/>
      <c r="N7" s="8"/>
      <c r="O7" s="8"/>
      <c r="P7" s="8"/>
      <c r="R7" s="10">
        <v>5</v>
      </c>
      <c r="S7" s="35" t="s">
        <v>48</v>
      </c>
      <c r="T7" s="5">
        <v>1625.24</v>
      </c>
      <c r="U7" s="5">
        <v>2398.31</v>
      </c>
      <c r="V7" s="27">
        <v>4023.55</v>
      </c>
      <c r="W7" s="27">
        <v>4466.75</v>
      </c>
      <c r="X7" s="36">
        <v>-443.2</v>
      </c>
      <c r="Y7" t="s">
        <v>121</v>
      </c>
      <c r="AA7" s="14" t="s">
        <v>99</v>
      </c>
      <c r="AB7" s="15" t="s">
        <v>119</v>
      </c>
      <c r="AC7" s="41">
        <v>14909.69</v>
      </c>
      <c r="AD7" s="41">
        <v>6631.95</v>
      </c>
      <c r="AE7" s="41">
        <v>21541.64</v>
      </c>
      <c r="AF7" s="41" t="s">
        <v>122</v>
      </c>
      <c r="AG7" s="41">
        <v>2147.58</v>
      </c>
    </row>
    <row r="8" spans="1:33" ht="31.5" hidden="1">
      <c r="A8" s="28">
        <v>6</v>
      </c>
      <c r="B8" s="14" t="s">
        <v>6</v>
      </c>
      <c r="C8" s="15" t="s">
        <v>119</v>
      </c>
      <c r="D8" s="37">
        <v>-3453.86</v>
      </c>
      <c r="E8" s="33">
        <f t="shared" si="1"/>
        <v>-21635.34</v>
      </c>
      <c r="F8" s="8"/>
      <c r="G8" s="38">
        <v>6</v>
      </c>
      <c r="H8" s="14" t="s">
        <v>6</v>
      </c>
      <c r="I8" s="15" t="s">
        <v>119</v>
      </c>
      <c r="J8" s="39">
        <v>-2967.06</v>
      </c>
      <c r="K8" s="33">
        <f t="shared" si="2"/>
        <v>-20974.54</v>
      </c>
      <c r="L8" s="33">
        <f t="shared" si="0"/>
        <v>486.8</v>
      </c>
      <c r="M8" s="8"/>
      <c r="N8" s="8"/>
      <c r="O8" s="8"/>
      <c r="P8" s="8"/>
      <c r="R8" s="10">
        <v>6</v>
      </c>
      <c r="S8" s="35" t="s">
        <v>99</v>
      </c>
      <c r="T8" s="41">
        <v>14909.69</v>
      </c>
      <c r="U8" s="41">
        <v>6631.95</v>
      </c>
      <c r="V8" s="41">
        <v>21541.64</v>
      </c>
      <c r="W8" s="41" t="s">
        <v>122</v>
      </c>
      <c r="X8" s="41">
        <v>2147.58</v>
      </c>
      <c r="Y8" t="s">
        <v>121</v>
      </c>
      <c r="AA8" s="14" t="s">
        <v>7</v>
      </c>
      <c r="AB8" s="15" t="s">
        <v>119</v>
      </c>
      <c r="AC8" s="5">
        <v>3794.92</v>
      </c>
      <c r="AD8" s="5">
        <v>1806.74</v>
      </c>
      <c r="AE8" s="27">
        <v>5601.66</v>
      </c>
      <c r="AF8" s="27">
        <v>6023.91</v>
      </c>
      <c r="AG8" s="36">
        <v>-422.25</v>
      </c>
    </row>
    <row r="9" spans="1:33" ht="31.5" hidden="1">
      <c r="A9" s="28">
        <v>7</v>
      </c>
      <c r="B9" s="14" t="s">
        <v>7</v>
      </c>
      <c r="C9" s="15" t="s">
        <v>119</v>
      </c>
      <c r="D9" s="37">
        <v>-208.1</v>
      </c>
      <c r="E9" s="33">
        <f t="shared" si="1"/>
        <v>-21843.439999999999</v>
      </c>
      <c r="F9" s="8"/>
      <c r="G9" s="38">
        <v>7</v>
      </c>
      <c r="H9" s="14" t="s">
        <v>7</v>
      </c>
      <c r="I9" s="15" t="s">
        <v>119</v>
      </c>
      <c r="J9" s="39">
        <v>-258.10000000000002</v>
      </c>
      <c r="K9" s="33">
        <f t="shared" si="2"/>
        <v>-21232.639999999999</v>
      </c>
      <c r="L9" s="33">
        <f t="shared" si="0"/>
        <v>-50</v>
      </c>
      <c r="M9" s="8"/>
      <c r="N9" s="8"/>
      <c r="O9" s="8"/>
      <c r="P9" s="8"/>
      <c r="R9" s="10">
        <v>7</v>
      </c>
      <c r="S9" s="35" t="s">
        <v>50</v>
      </c>
      <c r="T9" s="6">
        <v>251.3</v>
      </c>
      <c r="U9" s="6">
        <v>0</v>
      </c>
      <c r="V9" s="42">
        <v>251.3</v>
      </c>
      <c r="W9" s="42">
        <v>183.57</v>
      </c>
      <c r="X9" s="6">
        <v>67.73</v>
      </c>
      <c r="Y9" t="s">
        <v>121</v>
      </c>
      <c r="AA9" s="14" t="s">
        <v>8</v>
      </c>
      <c r="AB9" s="15" t="s">
        <v>119</v>
      </c>
      <c r="AC9" s="5">
        <v>4952.7299999999996</v>
      </c>
      <c r="AD9" s="5">
        <v>1460.02</v>
      </c>
      <c r="AE9" s="27">
        <v>6412.75</v>
      </c>
      <c r="AF9" s="27">
        <v>5338.19</v>
      </c>
      <c r="AG9" s="5">
        <v>1074.56</v>
      </c>
    </row>
    <row r="10" spans="1:33" ht="31.5" hidden="1">
      <c r="A10" s="28">
        <v>8</v>
      </c>
      <c r="B10" s="14" t="s">
        <v>8</v>
      </c>
      <c r="C10" s="15" t="s">
        <v>119</v>
      </c>
      <c r="D10" s="37">
        <v>-54.5</v>
      </c>
      <c r="E10" s="33">
        <f t="shared" si="1"/>
        <v>-21897.94</v>
      </c>
      <c r="F10" s="8"/>
      <c r="G10" s="38">
        <v>8</v>
      </c>
      <c r="H10" s="14" t="s">
        <v>8</v>
      </c>
      <c r="I10" s="15" t="s">
        <v>119</v>
      </c>
      <c r="J10" s="39"/>
      <c r="K10" s="33">
        <f t="shared" si="2"/>
        <v>-21232.639999999999</v>
      </c>
      <c r="L10" s="33">
        <f t="shared" si="0"/>
        <v>54.5</v>
      </c>
      <c r="M10" s="8"/>
      <c r="N10" s="8"/>
      <c r="O10" s="8"/>
      <c r="P10" s="8"/>
      <c r="R10" s="10">
        <v>8</v>
      </c>
      <c r="S10" s="35" t="s">
        <v>63</v>
      </c>
      <c r="T10" s="5">
        <v>1938.86</v>
      </c>
      <c r="U10" s="5">
        <v>2420.52</v>
      </c>
      <c r="V10" s="27">
        <v>4359.38</v>
      </c>
      <c r="W10" s="27">
        <v>4586.08</v>
      </c>
      <c r="X10" s="36">
        <v>-226.7</v>
      </c>
      <c r="Y10" t="s">
        <v>121</v>
      </c>
      <c r="AA10" s="14" t="s">
        <v>9</v>
      </c>
      <c r="AB10" s="15" t="s">
        <v>119</v>
      </c>
      <c r="AC10" s="5">
        <v>4145.78</v>
      </c>
      <c r="AD10" s="5">
        <v>2445.3000000000002</v>
      </c>
      <c r="AE10" s="27">
        <v>6591.08</v>
      </c>
      <c r="AF10" s="27">
        <v>8028.44</v>
      </c>
      <c r="AG10" s="40">
        <v>-1437.36</v>
      </c>
    </row>
    <row r="11" spans="1:33" ht="15.75" hidden="1">
      <c r="A11" s="28">
        <v>9</v>
      </c>
      <c r="B11" s="14" t="s">
        <v>9</v>
      </c>
      <c r="C11" s="15" t="s">
        <v>119</v>
      </c>
      <c r="D11" s="37">
        <v>-3448.8</v>
      </c>
      <c r="E11" s="33">
        <f t="shared" si="1"/>
        <v>-25346.74</v>
      </c>
      <c r="F11" s="8"/>
      <c r="G11" s="38">
        <v>9</v>
      </c>
      <c r="H11" s="14" t="s">
        <v>9</v>
      </c>
      <c r="I11" s="15" t="s">
        <v>119</v>
      </c>
      <c r="J11" s="39">
        <v>-3302.2</v>
      </c>
      <c r="K11" s="33">
        <f t="shared" si="2"/>
        <v>-24534.84</v>
      </c>
      <c r="L11" s="33">
        <f t="shared" si="0"/>
        <v>146.6</v>
      </c>
      <c r="M11" s="8"/>
      <c r="N11" s="8"/>
      <c r="O11" s="8"/>
      <c r="P11" s="8"/>
      <c r="R11" s="10">
        <v>9</v>
      </c>
      <c r="S11" s="35" t="s">
        <v>4</v>
      </c>
      <c r="T11" s="5">
        <v>2540.06</v>
      </c>
      <c r="U11" s="5">
        <v>1049.74</v>
      </c>
      <c r="V11" s="27">
        <v>3589.8</v>
      </c>
      <c r="W11" s="27">
        <v>3860.22</v>
      </c>
      <c r="X11" s="36">
        <v>-270.42</v>
      </c>
      <c r="Y11" t="s">
        <v>121</v>
      </c>
      <c r="AA11" s="14" t="s">
        <v>10</v>
      </c>
      <c r="AB11" s="15" t="s">
        <v>119</v>
      </c>
      <c r="AC11" s="5">
        <v>6966.34</v>
      </c>
      <c r="AD11" s="5">
        <v>10135.61</v>
      </c>
      <c r="AE11" s="27">
        <v>17101.95</v>
      </c>
      <c r="AF11" s="27">
        <v>12222.27</v>
      </c>
      <c r="AG11" s="5">
        <v>4879.68</v>
      </c>
    </row>
    <row r="12" spans="1:33" ht="15.75" hidden="1">
      <c r="A12" s="28">
        <v>10</v>
      </c>
      <c r="B12" s="14" t="s">
        <v>10</v>
      </c>
      <c r="C12" s="15" t="s">
        <v>119</v>
      </c>
      <c r="D12" s="37">
        <v>-540.22</v>
      </c>
      <c r="E12" s="33">
        <f t="shared" si="1"/>
        <v>-25886.959999999999</v>
      </c>
      <c r="F12" s="8"/>
      <c r="G12" s="38">
        <v>10</v>
      </c>
      <c r="H12" s="14" t="s">
        <v>10</v>
      </c>
      <c r="I12" s="15" t="s">
        <v>119</v>
      </c>
      <c r="J12" s="39">
        <v>-619.5</v>
      </c>
      <c r="K12" s="33">
        <f t="shared" si="2"/>
        <v>-25154.34</v>
      </c>
      <c r="L12" s="33">
        <f t="shared" si="0"/>
        <v>-79.28</v>
      </c>
      <c r="M12" s="8"/>
      <c r="N12" s="8"/>
      <c r="O12" s="8"/>
      <c r="P12" s="8"/>
      <c r="R12" s="10">
        <v>10</v>
      </c>
      <c r="S12" s="35" t="s">
        <v>54</v>
      </c>
      <c r="T12" s="5">
        <v>15109.04</v>
      </c>
      <c r="U12" s="5">
        <v>7291.02</v>
      </c>
      <c r="V12" s="27">
        <v>22400.06</v>
      </c>
      <c r="W12" s="27">
        <v>19490.240000000002</v>
      </c>
      <c r="X12" s="5">
        <v>2909.82</v>
      </c>
      <c r="Y12" t="s">
        <v>121</v>
      </c>
      <c r="AA12" s="43" t="s">
        <v>11</v>
      </c>
      <c r="AB12" s="23" t="s">
        <v>119</v>
      </c>
      <c r="AC12" s="5">
        <v>4032.88</v>
      </c>
      <c r="AD12" s="5">
        <v>8475.5400000000009</v>
      </c>
      <c r="AE12" s="27">
        <v>12508.42</v>
      </c>
      <c r="AF12" s="27">
        <v>15519.7</v>
      </c>
      <c r="AG12" s="40">
        <v>-3011.28</v>
      </c>
    </row>
    <row r="13" spans="1:33" ht="15.75" hidden="1">
      <c r="A13" s="28">
        <v>11</v>
      </c>
      <c r="B13" s="43" t="s">
        <v>11</v>
      </c>
      <c r="C13" s="23" t="s">
        <v>119</v>
      </c>
      <c r="D13" s="37"/>
      <c r="E13" s="44">
        <f t="shared" si="1"/>
        <v>-25886.959999999999</v>
      </c>
      <c r="F13" s="8"/>
      <c r="G13" s="38">
        <v>11</v>
      </c>
      <c r="H13" s="43" t="s">
        <v>11</v>
      </c>
      <c r="I13" s="23" t="s">
        <v>119</v>
      </c>
      <c r="J13" s="39"/>
      <c r="K13" s="33">
        <f t="shared" si="2"/>
        <v>-25154.34</v>
      </c>
      <c r="L13" s="33"/>
      <c r="M13" s="8"/>
      <c r="N13" s="8"/>
      <c r="O13" s="8"/>
      <c r="P13" s="8"/>
      <c r="R13" s="10">
        <v>11</v>
      </c>
      <c r="S13" s="35" t="s">
        <v>57</v>
      </c>
      <c r="T13" s="5">
        <v>2556.58</v>
      </c>
      <c r="U13" s="5">
        <v>2903.59</v>
      </c>
      <c r="V13" s="27">
        <v>5460.17</v>
      </c>
      <c r="W13" s="27">
        <v>6222.13</v>
      </c>
      <c r="X13" s="36">
        <v>-761.96</v>
      </c>
      <c r="Y13" t="s">
        <v>121</v>
      </c>
    </row>
    <row r="14" spans="1:33" ht="47.25" hidden="1">
      <c r="A14" s="28">
        <v>12</v>
      </c>
      <c r="B14" s="25" t="s">
        <v>12</v>
      </c>
      <c r="C14" s="26" t="s">
        <v>123</v>
      </c>
      <c r="D14" s="37">
        <v>-24200.2</v>
      </c>
      <c r="E14" s="30">
        <f t="shared" si="1"/>
        <v>-50087.16</v>
      </c>
      <c r="F14" s="8"/>
      <c r="G14" s="38">
        <v>12</v>
      </c>
      <c r="H14" s="25" t="s">
        <v>12</v>
      </c>
      <c r="I14" s="26" t="s">
        <v>123</v>
      </c>
      <c r="J14" s="39">
        <v>-24373.599999999999</v>
      </c>
      <c r="K14" s="33">
        <f t="shared" si="2"/>
        <v>-49527.94</v>
      </c>
      <c r="L14" s="33">
        <f t="shared" si="0"/>
        <v>-173.39999999999799</v>
      </c>
      <c r="M14" s="8"/>
      <c r="N14" s="8"/>
      <c r="O14" s="8"/>
      <c r="P14" s="8"/>
      <c r="R14" s="10">
        <v>12</v>
      </c>
      <c r="S14" s="35" t="s">
        <v>90</v>
      </c>
      <c r="T14" s="6">
        <v>955.25</v>
      </c>
      <c r="U14" s="5">
        <v>1588.17</v>
      </c>
      <c r="V14" s="27">
        <v>2543.42</v>
      </c>
      <c r="W14" s="27">
        <v>2000.24</v>
      </c>
      <c r="X14" s="6">
        <v>543.17999999999995</v>
      </c>
      <c r="Y14" t="s">
        <v>121</v>
      </c>
      <c r="AA14" s="25" t="s">
        <v>12</v>
      </c>
      <c r="AB14" s="26" t="s">
        <v>123</v>
      </c>
      <c r="AC14" s="5">
        <v>2628.31</v>
      </c>
      <c r="AD14" s="6">
        <v>874.47</v>
      </c>
      <c r="AE14" s="27">
        <v>3502.78</v>
      </c>
      <c r="AF14" s="27">
        <v>3995.56</v>
      </c>
      <c r="AG14" s="36">
        <v>-492.78</v>
      </c>
    </row>
    <row r="15" spans="1:33" ht="15.75" hidden="1">
      <c r="A15" s="28">
        <v>13</v>
      </c>
      <c r="B15" s="14" t="s">
        <v>13</v>
      </c>
      <c r="C15" s="15" t="s">
        <v>123</v>
      </c>
      <c r="D15" s="37">
        <v>-5632.7</v>
      </c>
      <c r="E15" s="33">
        <f t="shared" si="1"/>
        <v>-55719.86</v>
      </c>
      <c r="F15" s="8"/>
      <c r="G15" s="38">
        <v>13</v>
      </c>
      <c r="H15" s="14" t="s">
        <v>13</v>
      </c>
      <c r="I15" s="15" t="s">
        <v>123</v>
      </c>
      <c r="J15" s="39">
        <v>-5634.9</v>
      </c>
      <c r="K15" s="33">
        <f t="shared" si="2"/>
        <v>-55162.84</v>
      </c>
      <c r="L15" s="33">
        <f t="shared" si="0"/>
        <v>-2.1999999999998199</v>
      </c>
      <c r="M15" s="8"/>
      <c r="N15" s="8"/>
      <c r="O15" s="8"/>
      <c r="P15" s="8"/>
      <c r="R15" s="10">
        <v>13</v>
      </c>
      <c r="S15" s="35" t="s">
        <v>46</v>
      </c>
      <c r="T15" s="6">
        <v>750.78</v>
      </c>
      <c r="U15" s="5">
        <v>7378.78</v>
      </c>
      <c r="V15" s="27">
        <v>8129.56</v>
      </c>
      <c r="W15" s="27">
        <v>7566.54</v>
      </c>
      <c r="X15" s="6">
        <v>563.02</v>
      </c>
      <c r="Y15" t="s">
        <v>121</v>
      </c>
      <c r="AA15" s="14" t="s">
        <v>13</v>
      </c>
      <c r="AB15" s="15" t="s">
        <v>123</v>
      </c>
      <c r="AC15" s="5">
        <v>1985.14</v>
      </c>
      <c r="AD15" s="5">
        <v>1011.22</v>
      </c>
      <c r="AE15" s="27">
        <v>2996.36</v>
      </c>
      <c r="AF15" s="27">
        <v>2773.28</v>
      </c>
      <c r="AG15" s="6">
        <v>223.08</v>
      </c>
    </row>
    <row r="16" spans="1:33" ht="15.75" hidden="1">
      <c r="A16" s="28">
        <v>14</v>
      </c>
      <c r="B16" s="14" t="s">
        <v>14</v>
      </c>
      <c r="C16" s="15" t="s">
        <v>123</v>
      </c>
      <c r="D16" s="37">
        <v>-2042.7</v>
      </c>
      <c r="E16" s="33">
        <f t="shared" si="1"/>
        <v>-57762.559999999998</v>
      </c>
      <c r="F16" s="8"/>
      <c r="G16" s="38">
        <v>14</v>
      </c>
      <c r="H16" s="14" t="s">
        <v>14</v>
      </c>
      <c r="I16" s="15" t="s">
        <v>123</v>
      </c>
      <c r="J16" s="39">
        <v>-1933.1</v>
      </c>
      <c r="K16" s="33">
        <f t="shared" si="2"/>
        <v>-57095.94</v>
      </c>
      <c r="L16" s="33">
        <f t="shared" si="0"/>
        <v>109.6</v>
      </c>
      <c r="M16" s="8"/>
      <c r="N16" s="8"/>
      <c r="O16" s="8"/>
      <c r="P16" s="8"/>
      <c r="R16" s="10">
        <v>14</v>
      </c>
      <c r="S16" s="35" t="s">
        <v>78</v>
      </c>
      <c r="T16" s="5">
        <v>4744.32</v>
      </c>
      <c r="U16" s="5">
        <v>1263.19</v>
      </c>
      <c r="V16" s="27">
        <v>6007.51</v>
      </c>
      <c r="W16" s="27">
        <v>4943.75</v>
      </c>
      <c r="X16" s="5">
        <v>1063.76</v>
      </c>
      <c r="Y16" t="s">
        <v>121</v>
      </c>
      <c r="AA16" s="14" t="s">
        <v>14</v>
      </c>
      <c r="AB16" s="15" t="s">
        <v>123</v>
      </c>
      <c r="AC16" s="6">
        <v>338.77</v>
      </c>
      <c r="AD16" s="6">
        <v>296.70999999999998</v>
      </c>
      <c r="AE16" s="42">
        <v>635.48</v>
      </c>
      <c r="AF16" s="42">
        <v>847.01</v>
      </c>
      <c r="AG16" s="36">
        <v>-211.53</v>
      </c>
    </row>
    <row r="17" spans="1:33" ht="31.5" hidden="1">
      <c r="A17" s="28">
        <v>15</v>
      </c>
      <c r="B17" s="14" t="s">
        <v>15</v>
      </c>
      <c r="C17" s="15" t="s">
        <v>123</v>
      </c>
      <c r="D17" s="37">
        <v>-39244</v>
      </c>
      <c r="E17" s="33">
        <f t="shared" si="1"/>
        <v>-97006.56</v>
      </c>
      <c r="F17" s="8"/>
      <c r="G17" s="38">
        <v>15</v>
      </c>
      <c r="H17" s="14" t="s">
        <v>15</v>
      </c>
      <c r="I17" s="15" t="s">
        <v>123</v>
      </c>
      <c r="J17" s="39">
        <v>-39686.699999999997</v>
      </c>
      <c r="K17" s="33">
        <f t="shared" si="2"/>
        <v>-96782.64</v>
      </c>
      <c r="L17" s="33">
        <f t="shared" si="0"/>
        <v>-442.69999999999698</v>
      </c>
      <c r="M17" s="8"/>
      <c r="N17" s="8"/>
      <c r="O17" s="8"/>
      <c r="P17" s="8"/>
      <c r="R17" s="10">
        <v>15</v>
      </c>
      <c r="S17" s="35" t="s">
        <v>28</v>
      </c>
      <c r="T17" s="5">
        <v>1447.03</v>
      </c>
      <c r="U17" s="6">
        <v>585.13</v>
      </c>
      <c r="V17" s="27">
        <v>2032.16</v>
      </c>
      <c r="W17" s="27">
        <v>2139.67</v>
      </c>
      <c r="X17" s="36">
        <v>-107.51</v>
      </c>
      <c r="Y17" t="s">
        <v>121</v>
      </c>
      <c r="AA17" s="14" t="s">
        <v>15</v>
      </c>
      <c r="AB17" s="15" t="s">
        <v>123</v>
      </c>
      <c r="AC17" s="5">
        <v>4569.75</v>
      </c>
      <c r="AD17" s="5">
        <v>2221.0700000000002</v>
      </c>
      <c r="AE17" s="27">
        <v>6790.82</v>
      </c>
      <c r="AF17" s="27">
        <v>6868</v>
      </c>
      <c r="AG17" s="36">
        <v>-77.180000000000007</v>
      </c>
    </row>
    <row r="18" spans="1:33" ht="31.5" hidden="1">
      <c r="A18" s="28">
        <v>16</v>
      </c>
      <c r="B18" s="14" t="s">
        <v>16</v>
      </c>
      <c r="C18" s="15" t="s">
        <v>123</v>
      </c>
      <c r="D18" s="37">
        <v>-5209.8100000000004</v>
      </c>
      <c r="E18" s="33">
        <f t="shared" si="1"/>
        <v>-102216.37</v>
      </c>
      <c r="F18" s="8"/>
      <c r="G18" s="38">
        <v>16</v>
      </c>
      <c r="H18" s="14" t="s">
        <v>16</v>
      </c>
      <c r="I18" s="15" t="s">
        <v>123</v>
      </c>
      <c r="J18" s="39">
        <v>-5332.21</v>
      </c>
      <c r="K18" s="33">
        <f t="shared" si="2"/>
        <v>-102114.85</v>
      </c>
      <c r="L18" s="33">
        <f t="shared" si="0"/>
        <v>-122.4</v>
      </c>
      <c r="M18" s="8"/>
      <c r="N18" s="8"/>
      <c r="O18" s="8"/>
      <c r="P18" s="8"/>
      <c r="R18" s="10">
        <v>16</v>
      </c>
      <c r="S18" s="35" t="s">
        <v>43</v>
      </c>
      <c r="T18" s="5">
        <v>1780.94</v>
      </c>
      <c r="U18" s="5">
        <v>5372.13</v>
      </c>
      <c r="V18" s="27">
        <v>7153.07</v>
      </c>
      <c r="W18" s="27">
        <v>5004.87</v>
      </c>
      <c r="X18" s="5">
        <v>2148.1999999999998</v>
      </c>
      <c r="Y18" t="s">
        <v>121</v>
      </c>
      <c r="AA18" s="45" t="s">
        <v>124</v>
      </c>
      <c r="AB18" s="46" t="s">
        <v>123</v>
      </c>
      <c r="AC18" s="6">
        <v>343.09</v>
      </c>
      <c r="AD18" s="6">
        <v>551.65</v>
      </c>
      <c r="AE18" s="42">
        <v>894.74</v>
      </c>
      <c r="AF18" s="27">
        <v>8899.0499999999993</v>
      </c>
      <c r="AG18" s="40">
        <v>-8004.31</v>
      </c>
    </row>
    <row r="19" spans="1:33" ht="31.5" hidden="1">
      <c r="A19" s="28">
        <v>17</v>
      </c>
      <c r="B19" s="14" t="s">
        <v>17</v>
      </c>
      <c r="C19" s="15" t="s">
        <v>123</v>
      </c>
      <c r="D19" s="37"/>
      <c r="E19" s="33">
        <f t="shared" si="1"/>
        <v>-102216.37</v>
      </c>
      <c r="F19" s="8"/>
      <c r="G19" s="38">
        <v>17</v>
      </c>
      <c r="H19" s="14" t="s">
        <v>17</v>
      </c>
      <c r="I19" s="15" t="s">
        <v>123</v>
      </c>
      <c r="J19" s="39"/>
      <c r="K19" s="33">
        <f t="shared" si="2"/>
        <v>-102114.85</v>
      </c>
      <c r="L19" s="33"/>
      <c r="M19" s="8"/>
      <c r="N19" s="8"/>
      <c r="O19" s="8"/>
      <c r="P19" s="8"/>
      <c r="R19" s="10">
        <v>17</v>
      </c>
      <c r="S19" s="35" t="s">
        <v>21</v>
      </c>
      <c r="T19" s="5">
        <v>4108.76</v>
      </c>
      <c r="U19" s="6">
        <v>789.84</v>
      </c>
      <c r="V19" s="27">
        <v>4898.6000000000004</v>
      </c>
      <c r="W19" s="27">
        <v>4981.6899999999996</v>
      </c>
      <c r="X19" s="36">
        <v>-83.09</v>
      </c>
      <c r="Y19" t="s">
        <v>121</v>
      </c>
      <c r="AA19" s="14" t="s">
        <v>19</v>
      </c>
      <c r="AB19" s="15" t="s">
        <v>123</v>
      </c>
      <c r="AC19" s="5">
        <v>1660.3</v>
      </c>
      <c r="AD19" s="6">
        <v>577.07000000000005</v>
      </c>
      <c r="AE19" s="27">
        <v>2237.37</v>
      </c>
      <c r="AF19" s="27">
        <v>2304.6999999999998</v>
      </c>
      <c r="AG19" s="36">
        <v>-67.33</v>
      </c>
    </row>
    <row r="20" spans="1:33" ht="31.5" hidden="1">
      <c r="A20" s="28">
        <v>18</v>
      </c>
      <c r="B20" s="45" t="s">
        <v>125</v>
      </c>
      <c r="C20" s="46" t="s">
        <v>123</v>
      </c>
      <c r="D20" s="37">
        <v>-29600.1</v>
      </c>
      <c r="E20" s="33">
        <f t="shared" si="1"/>
        <v>-131816.47</v>
      </c>
      <c r="F20" s="8"/>
      <c r="G20" s="38">
        <v>18</v>
      </c>
      <c r="H20" s="45" t="s">
        <v>124</v>
      </c>
      <c r="I20" s="46" t="s">
        <v>123</v>
      </c>
      <c r="J20" s="39">
        <v>-29759.3</v>
      </c>
      <c r="K20" s="33">
        <f t="shared" si="2"/>
        <v>-131874.15</v>
      </c>
      <c r="L20" s="33">
        <f t="shared" si="0"/>
        <v>-159.20000000000101</v>
      </c>
      <c r="M20" s="8"/>
      <c r="N20" s="8"/>
      <c r="O20" s="8"/>
      <c r="P20" s="8"/>
      <c r="R20" s="10">
        <v>18</v>
      </c>
      <c r="S20" s="35" t="s">
        <v>45</v>
      </c>
      <c r="T20" s="5">
        <v>2462.7600000000002</v>
      </c>
      <c r="U20" s="6">
        <v>623.38</v>
      </c>
      <c r="V20" s="27">
        <v>3086.14</v>
      </c>
      <c r="W20" s="27">
        <v>3897.14</v>
      </c>
      <c r="X20" s="36">
        <v>-811</v>
      </c>
      <c r="Y20" t="s">
        <v>121</v>
      </c>
      <c r="AA20" s="14" t="s">
        <v>20</v>
      </c>
      <c r="AB20" s="15" t="s">
        <v>123</v>
      </c>
      <c r="AC20" s="5">
        <v>1556.68</v>
      </c>
      <c r="AD20" s="6">
        <v>545.4</v>
      </c>
      <c r="AE20" s="27">
        <v>2102.08</v>
      </c>
      <c r="AF20" s="27">
        <v>2325.25</v>
      </c>
      <c r="AG20" s="36">
        <v>-223.17</v>
      </c>
    </row>
    <row r="21" spans="1:33" ht="15.75" hidden="1">
      <c r="A21" s="28">
        <v>19</v>
      </c>
      <c r="B21" s="45" t="s">
        <v>19</v>
      </c>
      <c r="C21" s="46" t="s">
        <v>123</v>
      </c>
      <c r="D21" s="37">
        <v>-28243.19</v>
      </c>
      <c r="E21" s="33">
        <f t="shared" si="1"/>
        <v>-160059.66</v>
      </c>
      <c r="F21" s="8"/>
      <c r="G21" s="38">
        <v>19</v>
      </c>
      <c r="H21" s="14" t="s">
        <v>19</v>
      </c>
      <c r="I21" s="15" t="s">
        <v>123</v>
      </c>
      <c r="J21" s="39">
        <v>-28214.09</v>
      </c>
      <c r="K21" s="33">
        <f t="shared" si="2"/>
        <v>-160088.24</v>
      </c>
      <c r="L21" s="33">
        <f t="shared" si="0"/>
        <v>29.099999999998499</v>
      </c>
      <c r="M21" s="8"/>
      <c r="N21" s="8"/>
      <c r="O21" s="8"/>
      <c r="P21" s="8"/>
      <c r="R21" s="10">
        <v>19</v>
      </c>
      <c r="S21" s="35" t="s">
        <v>85</v>
      </c>
      <c r="T21" s="5">
        <v>6476.67</v>
      </c>
      <c r="U21" s="5">
        <v>5326.57</v>
      </c>
      <c r="V21" s="27">
        <v>11803.24</v>
      </c>
      <c r="W21" s="27">
        <v>9246.7099999999991</v>
      </c>
      <c r="X21" s="5">
        <v>2556.5300000000002</v>
      </c>
      <c r="Y21" t="s">
        <v>121</v>
      </c>
      <c r="AA21" s="43" t="s">
        <v>21</v>
      </c>
      <c r="AB21" s="23" t="s">
        <v>123</v>
      </c>
      <c r="AC21" s="5">
        <v>4108.76</v>
      </c>
      <c r="AD21" s="6">
        <v>789.84</v>
      </c>
      <c r="AE21" s="27">
        <v>4898.6000000000004</v>
      </c>
      <c r="AF21" s="27">
        <v>4981.6899999999996</v>
      </c>
      <c r="AG21" s="36">
        <v>-83.09</v>
      </c>
    </row>
    <row r="22" spans="1:33" ht="31.5" hidden="1">
      <c r="A22" s="28">
        <v>20</v>
      </c>
      <c r="B22" s="14" t="s">
        <v>20</v>
      </c>
      <c r="C22" s="15" t="s">
        <v>123</v>
      </c>
      <c r="D22" s="37">
        <v>-6520.96</v>
      </c>
      <c r="E22" s="33">
        <f t="shared" si="1"/>
        <v>-166580.62</v>
      </c>
      <c r="F22" s="8"/>
      <c r="G22" s="38">
        <v>20</v>
      </c>
      <c r="H22" s="14" t="s">
        <v>20</v>
      </c>
      <c r="I22" s="15" t="s">
        <v>123</v>
      </c>
      <c r="J22" s="39">
        <v>-6522.16</v>
      </c>
      <c r="K22" s="33">
        <f t="shared" si="2"/>
        <v>-166610.4</v>
      </c>
      <c r="L22" s="33">
        <f t="shared" si="0"/>
        <v>-1.1999999999998201</v>
      </c>
      <c r="M22" s="8"/>
      <c r="N22" s="8"/>
      <c r="O22" s="8"/>
      <c r="P22" s="8"/>
      <c r="R22" s="10">
        <v>20</v>
      </c>
      <c r="S22" s="35" t="s">
        <v>14</v>
      </c>
      <c r="T22" s="6">
        <v>338.77</v>
      </c>
      <c r="U22" s="6">
        <v>296.70999999999998</v>
      </c>
      <c r="V22" s="42">
        <v>635.48</v>
      </c>
      <c r="W22" s="42">
        <v>847.01</v>
      </c>
      <c r="X22" s="36">
        <v>-211.53</v>
      </c>
      <c r="Y22" t="s">
        <v>121</v>
      </c>
      <c r="AA22" s="14" t="s">
        <v>16</v>
      </c>
      <c r="AB22" s="15" t="s">
        <v>123</v>
      </c>
      <c r="AC22" s="5">
        <v>1262.55</v>
      </c>
      <c r="AD22" s="6">
        <v>441.01</v>
      </c>
      <c r="AE22" s="27">
        <v>1703.56</v>
      </c>
      <c r="AF22" s="27">
        <v>1489.62</v>
      </c>
      <c r="AG22" s="6">
        <v>213.94</v>
      </c>
    </row>
    <row r="23" spans="1:33" ht="31.5" hidden="1">
      <c r="A23" s="28">
        <v>21</v>
      </c>
      <c r="B23" s="43" t="s">
        <v>21</v>
      </c>
      <c r="C23" s="23" t="s">
        <v>123</v>
      </c>
      <c r="D23" s="37">
        <v>-8438.98</v>
      </c>
      <c r="E23" s="44">
        <f t="shared" si="1"/>
        <v>-175019.6</v>
      </c>
      <c r="F23" s="8"/>
      <c r="G23" s="38">
        <v>21</v>
      </c>
      <c r="H23" s="43" t="s">
        <v>21</v>
      </c>
      <c r="I23" s="23" t="s">
        <v>123</v>
      </c>
      <c r="J23" s="39">
        <v>-7990.88</v>
      </c>
      <c r="K23" s="33">
        <f t="shared" si="2"/>
        <v>-174601.28</v>
      </c>
      <c r="L23" s="33">
        <f t="shared" si="0"/>
        <v>448.099999999999</v>
      </c>
      <c r="M23" s="8"/>
      <c r="N23" s="8"/>
      <c r="O23" s="8"/>
      <c r="P23" s="8"/>
      <c r="R23" s="10">
        <v>21</v>
      </c>
      <c r="S23" s="35" t="s">
        <v>15</v>
      </c>
      <c r="T23" s="5">
        <v>4569.75</v>
      </c>
      <c r="U23" s="5">
        <v>2221.0700000000002</v>
      </c>
      <c r="V23" s="27">
        <v>6790.82</v>
      </c>
      <c r="W23" s="27">
        <v>6868</v>
      </c>
      <c r="X23" s="36">
        <v>-77.180000000000007</v>
      </c>
      <c r="Y23" t="s">
        <v>121</v>
      </c>
      <c r="AA23" s="25" t="s">
        <v>22</v>
      </c>
      <c r="AB23" s="26" t="s">
        <v>126</v>
      </c>
      <c r="AC23" s="5">
        <v>7249.85</v>
      </c>
      <c r="AD23" s="5">
        <v>4270.58</v>
      </c>
      <c r="AE23" s="27">
        <v>11520.43</v>
      </c>
      <c r="AF23" s="27">
        <v>7561.72</v>
      </c>
      <c r="AG23" s="5">
        <v>3958.71</v>
      </c>
    </row>
    <row r="24" spans="1:33" ht="31.5" hidden="1">
      <c r="A24" s="28">
        <v>22</v>
      </c>
      <c r="B24" s="25" t="s">
        <v>22</v>
      </c>
      <c r="C24" s="26" t="s">
        <v>126</v>
      </c>
      <c r="D24" s="37"/>
      <c r="E24" s="30">
        <f t="shared" si="1"/>
        <v>-175019.6</v>
      </c>
      <c r="F24" s="8"/>
      <c r="G24" s="38">
        <v>22</v>
      </c>
      <c r="H24" s="25" t="s">
        <v>22</v>
      </c>
      <c r="I24" s="26" t="s">
        <v>126</v>
      </c>
      <c r="J24" s="39"/>
      <c r="K24" s="33">
        <f t="shared" si="2"/>
        <v>-174601.28</v>
      </c>
      <c r="L24" s="33"/>
      <c r="M24" s="8"/>
      <c r="N24" s="8"/>
      <c r="O24" s="8"/>
      <c r="P24" s="8"/>
      <c r="R24" s="10">
        <v>22</v>
      </c>
      <c r="S24" s="35" t="s">
        <v>11</v>
      </c>
      <c r="T24" s="5">
        <v>4032.88</v>
      </c>
      <c r="U24" s="5">
        <v>8475.5400000000009</v>
      </c>
      <c r="V24" s="27">
        <v>12508.42</v>
      </c>
      <c r="W24" s="27">
        <v>15519.7</v>
      </c>
      <c r="X24" s="40">
        <v>-3011.28</v>
      </c>
      <c r="Y24" t="s">
        <v>121</v>
      </c>
      <c r="AA24" s="14" t="s">
        <v>23</v>
      </c>
      <c r="AB24" s="15" t="s">
        <v>126</v>
      </c>
      <c r="AC24" s="6">
        <v>980.88</v>
      </c>
      <c r="AD24" s="5">
        <v>5053.88</v>
      </c>
      <c r="AE24" s="27">
        <v>6034.76</v>
      </c>
      <c r="AF24" s="27">
        <v>4520.7299999999996</v>
      </c>
      <c r="AG24" s="5">
        <v>1514.03</v>
      </c>
    </row>
    <row r="25" spans="1:33" ht="31.5" hidden="1">
      <c r="A25" s="28">
        <v>23</v>
      </c>
      <c r="B25" s="14" t="s">
        <v>23</v>
      </c>
      <c r="C25" s="15" t="s">
        <v>126</v>
      </c>
      <c r="D25" s="37">
        <v>-5534.45</v>
      </c>
      <c r="E25" s="33">
        <f t="shared" si="1"/>
        <v>-180554.05</v>
      </c>
      <c r="F25" s="8"/>
      <c r="G25" s="38">
        <v>23</v>
      </c>
      <c r="H25" s="14" t="s">
        <v>23</v>
      </c>
      <c r="I25" s="15" t="s">
        <v>126</v>
      </c>
      <c r="J25" s="39">
        <v>-5434.45</v>
      </c>
      <c r="K25" s="33">
        <f t="shared" si="2"/>
        <v>-180035.73</v>
      </c>
      <c r="L25" s="33">
        <f t="shared" si="0"/>
        <v>100</v>
      </c>
      <c r="M25" s="8"/>
      <c r="N25" s="8"/>
      <c r="O25" s="8"/>
      <c r="P25" s="8"/>
      <c r="R25" s="10">
        <v>23</v>
      </c>
      <c r="S25" s="35" t="s">
        <v>24</v>
      </c>
      <c r="T25" s="5">
        <v>4147.53</v>
      </c>
      <c r="U25" s="5">
        <v>15853.26</v>
      </c>
      <c r="V25" s="27">
        <v>20000.79</v>
      </c>
      <c r="W25" s="27">
        <v>14423.59</v>
      </c>
      <c r="X25" s="5">
        <v>5577.2</v>
      </c>
      <c r="Y25" t="s">
        <v>121</v>
      </c>
      <c r="AA25" s="14" t="s">
        <v>24</v>
      </c>
      <c r="AB25" s="15" t="s">
        <v>126</v>
      </c>
      <c r="AC25" s="5">
        <v>4147.53</v>
      </c>
      <c r="AD25" s="5">
        <v>15853.26</v>
      </c>
      <c r="AE25" s="27">
        <v>20000.79</v>
      </c>
      <c r="AF25" s="27">
        <v>14423.59</v>
      </c>
      <c r="AG25" s="5">
        <v>5577.2</v>
      </c>
    </row>
    <row r="26" spans="1:33" ht="15.75" hidden="1">
      <c r="A26" s="28">
        <v>24</v>
      </c>
      <c r="B26" s="14" t="s">
        <v>24</v>
      </c>
      <c r="C26" s="15" t="s">
        <v>126</v>
      </c>
      <c r="D26" s="37">
        <v>-210.05</v>
      </c>
      <c r="E26" s="33">
        <f t="shared" si="1"/>
        <v>-180764.1</v>
      </c>
      <c r="F26" s="8"/>
      <c r="G26" s="38">
        <v>24</v>
      </c>
      <c r="H26" s="14" t="s">
        <v>24</v>
      </c>
      <c r="I26" s="15" t="s">
        <v>126</v>
      </c>
      <c r="J26" s="39">
        <v>-457.45</v>
      </c>
      <c r="K26" s="33">
        <f t="shared" si="2"/>
        <v>-180493.18</v>
      </c>
      <c r="L26" s="33">
        <f t="shared" si="0"/>
        <v>-247.4</v>
      </c>
      <c r="M26" s="8"/>
      <c r="N26" s="8"/>
      <c r="O26" s="8"/>
      <c r="P26" s="8"/>
      <c r="R26" s="10">
        <v>24</v>
      </c>
      <c r="S26" s="35" t="s">
        <v>77</v>
      </c>
      <c r="T26" s="5">
        <v>11375.14</v>
      </c>
      <c r="U26" s="5">
        <v>3479.8</v>
      </c>
      <c r="V26" s="27">
        <v>14854.94</v>
      </c>
      <c r="W26" s="27">
        <v>14937.63</v>
      </c>
      <c r="X26" s="36">
        <v>-82.69</v>
      </c>
      <c r="Y26" t="s">
        <v>121</v>
      </c>
      <c r="AA26" s="47" t="s">
        <v>127</v>
      </c>
      <c r="AB26" s="15" t="s">
        <v>126</v>
      </c>
      <c r="AC26" s="6">
        <v>908.46</v>
      </c>
      <c r="AD26" s="5">
        <v>1475.62</v>
      </c>
      <c r="AE26" s="27">
        <v>2384.08</v>
      </c>
      <c r="AF26" s="27">
        <v>2937.86</v>
      </c>
      <c r="AG26" s="36">
        <v>-553.78</v>
      </c>
    </row>
    <row r="27" spans="1:33" ht="15.75" hidden="1">
      <c r="A27" s="28">
        <v>25</v>
      </c>
      <c r="B27" s="14" t="s">
        <v>128</v>
      </c>
      <c r="C27" s="15" t="s">
        <v>126</v>
      </c>
      <c r="D27" s="37"/>
      <c r="E27" s="33">
        <f t="shared" si="1"/>
        <v>-180764.1</v>
      </c>
      <c r="F27" s="8"/>
      <c r="G27" s="38">
        <v>25</v>
      </c>
      <c r="H27" s="14" t="s">
        <v>128</v>
      </c>
      <c r="I27" s="15" t="s">
        <v>126</v>
      </c>
      <c r="J27" s="39"/>
      <c r="K27" s="33">
        <f t="shared" si="2"/>
        <v>-180493.18</v>
      </c>
      <c r="L27" s="33"/>
      <c r="M27" s="8"/>
      <c r="N27" s="8"/>
      <c r="O27" s="8"/>
      <c r="P27" s="8"/>
      <c r="R27" s="10">
        <v>25</v>
      </c>
      <c r="S27" s="35" t="s">
        <v>27</v>
      </c>
      <c r="T27" s="5">
        <v>1531.91</v>
      </c>
      <c r="U27" s="5">
        <v>2237.16</v>
      </c>
      <c r="V27" s="27">
        <v>3769.07</v>
      </c>
      <c r="W27" s="27">
        <v>3502.74</v>
      </c>
      <c r="X27" s="6">
        <v>266.33</v>
      </c>
      <c r="Y27" t="s">
        <v>121</v>
      </c>
      <c r="AA27" s="14" t="s">
        <v>27</v>
      </c>
      <c r="AB27" s="15" t="s">
        <v>126</v>
      </c>
      <c r="AC27" s="5">
        <v>1531.91</v>
      </c>
      <c r="AD27" s="5">
        <v>2237.16</v>
      </c>
      <c r="AE27" s="27">
        <v>3769.07</v>
      </c>
      <c r="AF27" s="27">
        <v>3502.74</v>
      </c>
      <c r="AG27" s="6">
        <v>266.33</v>
      </c>
    </row>
    <row r="28" spans="1:33" ht="31.5" hidden="1">
      <c r="A28" s="28">
        <v>26</v>
      </c>
      <c r="B28" s="47" t="s">
        <v>127</v>
      </c>
      <c r="C28" s="15" t="s">
        <v>126</v>
      </c>
      <c r="D28" s="37"/>
      <c r="E28" s="33">
        <f t="shared" si="1"/>
        <v>-180764.1</v>
      </c>
      <c r="F28" s="8"/>
      <c r="G28" s="38">
        <v>26</v>
      </c>
      <c r="H28" s="47" t="s">
        <v>127</v>
      </c>
      <c r="I28" s="15" t="s">
        <v>126</v>
      </c>
      <c r="J28" s="39"/>
      <c r="K28" s="33">
        <f t="shared" si="2"/>
        <v>-180493.18</v>
      </c>
      <c r="L28" s="33"/>
      <c r="M28" s="8"/>
      <c r="N28" s="8"/>
      <c r="O28" s="8"/>
      <c r="P28" s="8"/>
      <c r="R28" s="10">
        <v>26</v>
      </c>
      <c r="S28" s="35" t="s">
        <v>76</v>
      </c>
      <c r="T28" s="5">
        <v>1603.43</v>
      </c>
      <c r="U28" s="5">
        <v>1506.31</v>
      </c>
      <c r="V28" s="27">
        <v>3109.74</v>
      </c>
      <c r="W28" s="27">
        <v>2813.79</v>
      </c>
      <c r="X28" s="6">
        <v>295.95</v>
      </c>
      <c r="Y28" t="s">
        <v>121</v>
      </c>
      <c r="AA28" s="14" t="s">
        <v>28</v>
      </c>
      <c r="AB28" s="15" t="s">
        <v>126</v>
      </c>
      <c r="AC28" s="5">
        <v>1447.03</v>
      </c>
      <c r="AD28" s="6">
        <v>585.13</v>
      </c>
      <c r="AE28" s="27">
        <v>2032.16</v>
      </c>
      <c r="AF28" s="27">
        <v>2139.67</v>
      </c>
      <c r="AG28" s="36">
        <v>-107.51</v>
      </c>
    </row>
    <row r="29" spans="1:33" ht="15.75" hidden="1">
      <c r="A29" s="28">
        <v>27</v>
      </c>
      <c r="B29" s="14" t="s">
        <v>27</v>
      </c>
      <c r="C29" s="15" t="s">
        <v>126</v>
      </c>
      <c r="D29" s="37">
        <v>-527.41</v>
      </c>
      <c r="E29" s="33">
        <f t="shared" si="1"/>
        <v>-181291.51</v>
      </c>
      <c r="F29" s="8"/>
      <c r="G29" s="38">
        <v>27</v>
      </c>
      <c r="H29" s="14" t="s">
        <v>27</v>
      </c>
      <c r="I29" s="15" t="s">
        <v>126</v>
      </c>
      <c r="J29" s="39">
        <v>-746.41</v>
      </c>
      <c r="K29" s="33">
        <f t="shared" si="2"/>
        <v>-181239.59</v>
      </c>
      <c r="L29" s="33">
        <f t="shared" si="0"/>
        <v>-219</v>
      </c>
      <c r="M29" s="8"/>
      <c r="N29" s="8"/>
      <c r="O29" s="8"/>
      <c r="P29" s="8"/>
      <c r="R29" s="10">
        <v>27</v>
      </c>
      <c r="S29" s="35" t="s">
        <v>42</v>
      </c>
      <c r="T29" s="5">
        <v>3570.21</v>
      </c>
      <c r="U29" s="5">
        <v>3266.05</v>
      </c>
      <c r="V29" s="27">
        <v>6836.26</v>
      </c>
      <c r="W29" s="27">
        <v>6403.51</v>
      </c>
      <c r="X29" s="6">
        <v>432.75</v>
      </c>
      <c r="Y29" t="s">
        <v>121</v>
      </c>
    </row>
    <row r="30" spans="1:33" ht="31.5" hidden="1">
      <c r="A30" s="28">
        <v>28</v>
      </c>
      <c r="B30" s="43" t="s">
        <v>28</v>
      </c>
      <c r="C30" s="23" t="s">
        <v>126</v>
      </c>
      <c r="D30" s="37">
        <v>-2564.94</v>
      </c>
      <c r="E30" s="33">
        <f t="shared" si="1"/>
        <v>-183856.45</v>
      </c>
      <c r="F30" s="8"/>
      <c r="G30" s="38">
        <v>28</v>
      </c>
      <c r="H30" s="14" t="s">
        <v>28</v>
      </c>
      <c r="I30" s="15" t="s">
        <v>126</v>
      </c>
      <c r="J30" s="39">
        <v>-2629.64</v>
      </c>
      <c r="K30" s="33">
        <f t="shared" si="2"/>
        <v>-183869.23</v>
      </c>
      <c r="L30" s="33">
        <f t="shared" si="0"/>
        <v>-64.699999999999804</v>
      </c>
      <c r="M30" s="8"/>
      <c r="N30" s="8"/>
      <c r="O30" s="8"/>
      <c r="P30" s="8"/>
      <c r="R30" s="10">
        <v>28</v>
      </c>
      <c r="S30" s="35" t="s">
        <v>52</v>
      </c>
      <c r="T30" s="5">
        <v>1754.5</v>
      </c>
      <c r="U30" s="5">
        <v>1376</v>
      </c>
      <c r="V30" s="27">
        <v>3130.5</v>
      </c>
      <c r="W30" s="27">
        <v>3400.49</v>
      </c>
      <c r="X30" s="36">
        <v>-269.99</v>
      </c>
      <c r="Y30" t="s">
        <v>121</v>
      </c>
      <c r="AA30" s="14" t="s">
        <v>31</v>
      </c>
      <c r="AB30" s="15" t="s">
        <v>129</v>
      </c>
      <c r="AC30" s="5">
        <v>3052.35</v>
      </c>
      <c r="AD30" s="5">
        <v>2098.7399999999998</v>
      </c>
      <c r="AE30" s="27">
        <v>5151.09</v>
      </c>
      <c r="AF30" s="27">
        <v>4486.46</v>
      </c>
      <c r="AG30" s="6">
        <v>664.63</v>
      </c>
    </row>
    <row r="31" spans="1:33" ht="47.25" hidden="1">
      <c r="A31" s="28">
        <v>29</v>
      </c>
      <c r="B31" s="25" t="s">
        <v>29</v>
      </c>
      <c r="C31" s="26" t="s">
        <v>129</v>
      </c>
      <c r="D31" s="37"/>
      <c r="E31" s="30">
        <f t="shared" si="1"/>
        <v>-183856.45</v>
      </c>
      <c r="F31" s="8"/>
      <c r="G31" s="38">
        <v>29</v>
      </c>
      <c r="H31" s="25" t="s">
        <v>29</v>
      </c>
      <c r="I31" s="26" t="s">
        <v>129</v>
      </c>
      <c r="J31" s="39"/>
      <c r="K31" s="33">
        <f t="shared" si="2"/>
        <v>-183869.23</v>
      </c>
      <c r="L31" s="33"/>
      <c r="M31" s="8"/>
      <c r="N31" s="8"/>
      <c r="O31" s="8"/>
      <c r="P31" s="8"/>
      <c r="R31" s="10">
        <v>29</v>
      </c>
      <c r="S31" s="35" t="s">
        <v>97</v>
      </c>
      <c r="T31" s="5">
        <v>12949.18</v>
      </c>
      <c r="U31" s="5">
        <v>15696.08</v>
      </c>
      <c r="V31" s="27">
        <v>28645.26</v>
      </c>
      <c r="W31" s="27">
        <v>22971.35</v>
      </c>
      <c r="X31" s="5">
        <v>5673.91</v>
      </c>
      <c r="Y31" t="s">
        <v>121</v>
      </c>
      <c r="AA31" s="14"/>
      <c r="AB31" s="15"/>
    </row>
    <row r="32" spans="1:33" ht="15.75" hidden="1">
      <c r="A32" s="28">
        <f t="shared" ref="A32:A95" si="3">A31+1</f>
        <v>30</v>
      </c>
      <c r="B32" s="14" t="s">
        <v>30</v>
      </c>
      <c r="C32" s="15" t="s">
        <v>129</v>
      </c>
      <c r="D32" s="37"/>
      <c r="E32" s="33">
        <f t="shared" si="1"/>
        <v>-183856.45</v>
      </c>
      <c r="F32" s="8"/>
      <c r="G32" s="38">
        <f t="shared" ref="G32:G95" si="4">G31+1</f>
        <v>30</v>
      </c>
      <c r="H32" s="14" t="s">
        <v>30</v>
      </c>
      <c r="I32" s="15" t="s">
        <v>129</v>
      </c>
      <c r="J32" s="39"/>
      <c r="K32" s="33">
        <f t="shared" si="2"/>
        <v>-183869.23</v>
      </c>
      <c r="L32" s="33"/>
      <c r="M32" s="8"/>
      <c r="N32" s="8"/>
      <c r="O32" s="8"/>
      <c r="P32" s="8"/>
      <c r="R32" s="10">
        <v>30</v>
      </c>
      <c r="S32" s="35" t="s">
        <v>12</v>
      </c>
      <c r="T32" s="5">
        <v>2628.31</v>
      </c>
      <c r="U32" s="6">
        <v>874.47</v>
      </c>
      <c r="V32" s="27">
        <v>3502.78</v>
      </c>
      <c r="W32" s="27">
        <v>3995.56</v>
      </c>
      <c r="X32" s="36">
        <v>-492.78</v>
      </c>
      <c r="Y32" t="s">
        <v>121</v>
      </c>
      <c r="AA32" s="14" t="s">
        <v>33</v>
      </c>
      <c r="AB32" s="15" t="s">
        <v>129</v>
      </c>
      <c r="AC32" s="5">
        <v>2347.0100000000002</v>
      </c>
      <c r="AD32" s="5">
        <v>2410.91</v>
      </c>
      <c r="AE32" s="27">
        <v>4757.92</v>
      </c>
      <c r="AF32" s="27">
        <v>3644.72</v>
      </c>
      <c r="AG32" s="5">
        <v>1113.2</v>
      </c>
    </row>
    <row r="33" spans="1:33" ht="15.75" hidden="1">
      <c r="A33" s="28">
        <f t="shared" si="3"/>
        <v>31</v>
      </c>
      <c r="B33" s="14" t="s">
        <v>31</v>
      </c>
      <c r="C33" s="15" t="s">
        <v>129</v>
      </c>
      <c r="D33" s="37">
        <v>-1838.5</v>
      </c>
      <c r="E33" s="33">
        <f t="shared" si="1"/>
        <v>-185694.95</v>
      </c>
      <c r="F33" s="8"/>
      <c r="G33" s="38">
        <f t="shared" si="4"/>
        <v>31</v>
      </c>
      <c r="H33" s="14" t="s">
        <v>31</v>
      </c>
      <c r="I33" s="15" t="s">
        <v>129</v>
      </c>
      <c r="J33" s="39">
        <v>-1791.3</v>
      </c>
      <c r="K33" s="33">
        <f t="shared" si="2"/>
        <v>-185660.53</v>
      </c>
      <c r="L33" s="33">
        <f t="shared" si="0"/>
        <v>47.2</v>
      </c>
      <c r="M33" s="8"/>
      <c r="N33" s="8"/>
      <c r="O33" s="8"/>
      <c r="P33" s="8"/>
      <c r="R33" s="10">
        <v>31</v>
      </c>
      <c r="S33" s="35" t="s">
        <v>95</v>
      </c>
      <c r="T33" s="5">
        <v>5727.1</v>
      </c>
      <c r="U33" s="5">
        <v>10765.83</v>
      </c>
      <c r="V33" s="27">
        <v>16492.93</v>
      </c>
      <c r="W33" s="27">
        <v>10678.29</v>
      </c>
      <c r="X33" s="5">
        <v>5814.64</v>
      </c>
      <c r="Y33" t="s">
        <v>121</v>
      </c>
      <c r="AA33" s="14" t="s">
        <v>34</v>
      </c>
      <c r="AB33" s="15" t="s">
        <v>129</v>
      </c>
      <c r="AC33" s="5">
        <v>3696.21</v>
      </c>
      <c r="AD33" s="5">
        <v>4178.42</v>
      </c>
      <c r="AE33" s="27">
        <v>7874.63</v>
      </c>
      <c r="AF33" s="27">
        <v>8716.4500000000007</v>
      </c>
      <c r="AG33" s="36">
        <v>-841.82</v>
      </c>
    </row>
    <row r="34" spans="1:33" ht="15.75" hidden="1">
      <c r="A34" s="28">
        <f t="shared" si="3"/>
        <v>32</v>
      </c>
      <c r="B34" s="14" t="s">
        <v>32</v>
      </c>
      <c r="C34" s="15" t="s">
        <v>129</v>
      </c>
      <c r="D34" s="37"/>
      <c r="E34" s="33">
        <f t="shared" si="1"/>
        <v>-185694.95</v>
      </c>
      <c r="F34" s="8"/>
      <c r="G34" s="38">
        <f t="shared" si="4"/>
        <v>32</v>
      </c>
      <c r="H34" s="14" t="s">
        <v>32</v>
      </c>
      <c r="I34" s="15" t="s">
        <v>129</v>
      </c>
      <c r="J34" s="39"/>
      <c r="K34" s="33">
        <f t="shared" si="2"/>
        <v>-185660.53</v>
      </c>
      <c r="L34" s="33"/>
      <c r="M34" s="8"/>
      <c r="N34" s="8"/>
      <c r="O34" s="8"/>
      <c r="P34" s="8"/>
      <c r="R34" s="10">
        <v>32</v>
      </c>
      <c r="S34" s="35" t="s">
        <v>22</v>
      </c>
      <c r="T34" s="5">
        <v>7249.85</v>
      </c>
      <c r="U34" s="5">
        <v>4270.58</v>
      </c>
      <c r="V34" s="27">
        <v>11520.43</v>
      </c>
      <c r="W34" s="27">
        <v>7561.72</v>
      </c>
      <c r="X34" s="5">
        <v>3958.71</v>
      </c>
      <c r="Y34" t="s">
        <v>121</v>
      </c>
      <c r="AA34" s="14" t="s">
        <v>36</v>
      </c>
      <c r="AB34" s="15" t="s">
        <v>129</v>
      </c>
      <c r="AC34" s="5">
        <v>1657.34</v>
      </c>
      <c r="AD34" s="5">
        <v>2587.92</v>
      </c>
      <c r="AE34" s="27">
        <v>4245.26</v>
      </c>
      <c r="AF34" s="27">
        <v>5488.05</v>
      </c>
      <c r="AG34" s="40">
        <v>-1242.79</v>
      </c>
    </row>
    <row r="35" spans="1:33" ht="31.5" hidden="1">
      <c r="A35" s="28">
        <f t="shared" si="3"/>
        <v>33</v>
      </c>
      <c r="B35" s="14" t="s">
        <v>33</v>
      </c>
      <c r="C35" s="15" t="s">
        <v>129</v>
      </c>
      <c r="D35" s="37"/>
      <c r="E35" s="33">
        <f t="shared" si="1"/>
        <v>-185694.95</v>
      </c>
      <c r="F35" s="8"/>
      <c r="G35" s="38">
        <f t="shared" si="4"/>
        <v>33</v>
      </c>
      <c r="H35" s="14" t="s">
        <v>33</v>
      </c>
      <c r="I35" s="15" t="s">
        <v>129</v>
      </c>
      <c r="J35" s="39"/>
      <c r="K35" s="33">
        <f t="shared" si="2"/>
        <v>-185660.53</v>
      </c>
      <c r="L35" s="33"/>
      <c r="M35" s="8"/>
      <c r="N35" s="8"/>
      <c r="O35" s="8"/>
      <c r="P35" s="8"/>
      <c r="R35" s="10">
        <v>33</v>
      </c>
      <c r="S35" s="35" t="s">
        <v>18</v>
      </c>
      <c r="T35" s="6">
        <v>343.09</v>
      </c>
      <c r="U35" s="6">
        <v>551.65</v>
      </c>
      <c r="V35" s="42">
        <v>894.74</v>
      </c>
      <c r="W35" s="27">
        <v>8899.0499999999993</v>
      </c>
      <c r="X35" s="40">
        <v>-8004.31</v>
      </c>
      <c r="Y35" t="s">
        <v>121</v>
      </c>
      <c r="AA35" s="14" t="s">
        <v>37</v>
      </c>
      <c r="AB35" s="15" t="s">
        <v>129</v>
      </c>
      <c r="AC35" s="5">
        <v>2100.2399999999998</v>
      </c>
      <c r="AD35" s="5">
        <v>3086.16</v>
      </c>
      <c r="AE35" s="27">
        <v>5186.3999999999996</v>
      </c>
      <c r="AF35" s="27">
        <v>3937.16</v>
      </c>
      <c r="AG35" s="5">
        <v>1249.24</v>
      </c>
    </row>
    <row r="36" spans="1:33" ht="15.75" hidden="1">
      <c r="A36" s="28">
        <f t="shared" si="3"/>
        <v>34</v>
      </c>
      <c r="B36" s="14" t="s">
        <v>34</v>
      </c>
      <c r="C36" s="15" t="s">
        <v>129</v>
      </c>
      <c r="D36" s="37">
        <v>-9052.6299999999992</v>
      </c>
      <c r="E36" s="33">
        <f t="shared" si="1"/>
        <v>-194747.58</v>
      </c>
      <c r="F36" s="8"/>
      <c r="G36" s="38">
        <f t="shared" si="4"/>
        <v>34</v>
      </c>
      <c r="H36" s="14" t="s">
        <v>34</v>
      </c>
      <c r="I36" s="15" t="s">
        <v>129</v>
      </c>
      <c r="J36" s="39">
        <v>-9004.83</v>
      </c>
      <c r="K36" s="33">
        <f t="shared" si="2"/>
        <v>-194665.36</v>
      </c>
      <c r="L36" s="33">
        <f t="shared" si="0"/>
        <v>47.799999999999301</v>
      </c>
      <c r="M36" s="8"/>
      <c r="N36" s="8"/>
      <c r="O36" s="8"/>
      <c r="P36" s="8"/>
      <c r="R36" s="10">
        <v>34</v>
      </c>
      <c r="S36" s="35" t="s">
        <v>10</v>
      </c>
      <c r="T36" s="5">
        <v>6966.34</v>
      </c>
      <c r="U36" s="5">
        <v>10135.61</v>
      </c>
      <c r="V36" s="27">
        <v>17101.95</v>
      </c>
      <c r="W36" s="27">
        <v>12222.27</v>
      </c>
      <c r="X36" s="5">
        <v>4879.68</v>
      </c>
      <c r="Y36" t="s">
        <v>121</v>
      </c>
      <c r="AA36" s="43" t="s">
        <v>38</v>
      </c>
      <c r="AB36" s="23" t="s">
        <v>130</v>
      </c>
      <c r="AC36" s="5">
        <v>10627.85</v>
      </c>
      <c r="AD36" s="5">
        <v>6754.13</v>
      </c>
      <c r="AE36" s="27">
        <v>17381.98</v>
      </c>
      <c r="AF36" s="27">
        <v>15937.86</v>
      </c>
      <c r="AG36" s="5">
        <v>1444.12</v>
      </c>
    </row>
    <row r="37" spans="1:33" ht="31.5" hidden="1">
      <c r="A37" s="28">
        <f t="shared" si="3"/>
        <v>35</v>
      </c>
      <c r="B37" s="14" t="s">
        <v>131</v>
      </c>
      <c r="C37" s="15" t="s">
        <v>129</v>
      </c>
      <c r="D37" s="37"/>
      <c r="E37" s="33">
        <f t="shared" si="1"/>
        <v>-194747.58</v>
      </c>
      <c r="F37" s="8"/>
      <c r="G37" s="38">
        <f t="shared" si="4"/>
        <v>35</v>
      </c>
      <c r="H37" s="14" t="s">
        <v>131</v>
      </c>
      <c r="I37" s="15" t="s">
        <v>129</v>
      </c>
      <c r="J37" s="39"/>
      <c r="K37" s="33">
        <f t="shared" si="2"/>
        <v>-194665.36</v>
      </c>
      <c r="L37" s="33"/>
      <c r="M37" s="8"/>
      <c r="N37" s="8"/>
      <c r="O37" s="8"/>
      <c r="P37" s="8"/>
      <c r="R37" s="10">
        <v>35</v>
      </c>
      <c r="S37" s="35" t="s">
        <v>88</v>
      </c>
      <c r="T37" s="5">
        <v>6772.59</v>
      </c>
      <c r="U37" s="5">
        <v>2221.77</v>
      </c>
      <c r="V37" s="27">
        <v>8994.36</v>
      </c>
      <c r="W37" s="27">
        <v>9966.08</v>
      </c>
      <c r="X37" s="36">
        <v>-971.72</v>
      </c>
      <c r="Y37" t="s">
        <v>121</v>
      </c>
    </row>
    <row r="38" spans="1:33" ht="15.75" hidden="1">
      <c r="A38" s="28">
        <f t="shared" si="3"/>
        <v>36</v>
      </c>
      <c r="B38" s="14" t="s">
        <v>36</v>
      </c>
      <c r="C38" s="15" t="s">
        <v>129</v>
      </c>
      <c r="D38" s="37">
        <v>-4158.63</v>
      </c>
      <c r="E38" s="33">
        <f t="shared" si="1"/>
        <v>-198906.21</v>
      </c>
      <c r="F38" s="8"/>
      <c r="G38" s="38">
        <f t="shared" si="4"/>
        <v>36</v>
      </c>
      <c r="H38" s="14" t="s">
        <v>36</v>
      </c>
      <c r="I38" s="15" t="s">
        <v>129</v>
      </c>
      <c r="J38" s="39">
        <v>-4120.53</v>
      </c>
      <c r="K38" s="33">
        <f t="shared" si="2"/>
        <v>-198785.89</v>
      </c>
      <c r="L38" s="33">
        <f t="shared" si="0"/>
        <v>38.100000000000399</v>
      </c>
      <c r="M38" s="8"/>
      <c r="N38" s="8"/>
      <c r="O38" s="8"/>
      <c r="P38" s="8"/>
      <c r="R38" s="10">
        <v>36</v>
      </c>
      <c r="S38" s="35" t="s">
        <v>65</v>
      </c>
      <c r="T38" s="5">
        <v>2201.29</v>
      </c>
      <c r="U38" s="5">
        <v>7196.89</v>
      </c>
      <c r="V38" s="27">
        <v>9398.18</v>
      </c>
      <c r="W38" s="27">
        <v>6997.64</v>
      </c>
      <c r="X38" s="5">
        <v>2400.54</v>
      </c>
      <c r="Y38" t="s">
        <v>121</v>
      </c>
      <c r="AA38" s="25" t="s">
        <v>39</v>
      </c>
      <c r="AB38" s="26" t="s">
        <v>132</v>
      </c>
      <c r="AC38" s="5">
        <v>28966.59</v>
      </c>
      <c r="AD38" s="5">
        <v>26358.92</v>
      </c>
      <c r="AE38" s="27">
        <v>55325.51</v>
      </c>
      <c r="AF38" s="27">
        <v>49264.1</v>
      </c>
      <c r="AG38" s="5">
        <v>6061.41</v>
      </c>
    </row>
    <row r="39" spans="1:33" ht="15.75" hidden="1">
      <c r="A39" s="28">
        <f t="shared" si="3"/>
        <v>37</v>
      </c>
      <c r="B39" s="14" t="s">
        <v>37</v>
      </c>
      <c r="C39" s="15" t="s">
        <v>129</v>
      </c>
      <c r="D39" s="37">
        <v>-12736.03</v>
      </c>
      <c r="E39" s="33">
        <f t="shared" si="1"/>
        <v>-211642.23999999999</v>
      </c>
      <c r="F39" s="8"/>
      <c r="G39" s="38">
        <f t="shared" si="4"/>
        <v>37</v>
      </c>
      <c r="H39" s="14" t="s">
        <v>37</v>
      </c>
      <c r="I39" s="15" t="s">
        <v>129</v>
      </c>
      <c r="J39" s="39">
        <v>-12859.03</v>
      </c>
      <c r="K39" s="33">
        <f t="shared" si="2"/>
        <v>-211644.92</v>
      </c>
      <c r="L39" s="33">
        <f t="shared" si="0"/>
        <v>-123</v>
      </c>
      <c r="M39" s="8"/>
      <c r="N39" s="8"/>
      <c r="O39" s="8"/>
      <c r="P39" s="8"/>
      <c r="R39" s="10">
        <v>37</v>
      </c>
      <c r="S39" s="35" t="s">
        <v>93</v>
      </c>
      <c r="T39" s="5">
        <v>1986.56</v>
      </c>
      <c r="U39" s="5">
        <v>1678.65</v>
      </c>
      <c r="V39" s="27">
        <v>3665.21</v>
      </c>
      <c r="W39" s="27">
        <v>3587.21</v>
      </c>
      <c r="X39" s="6">
        <v>78</v>
      </c>
      <c r="Y39" t="s">
        <v>121</v>
      </c>
      <c r="AA39" s="14" t="s">
        <v>40</v>
      </c>
      <c r="AB39" s="15" t="s">
        <v>132</v>
      </c>
      <c r="AC39" s="6">
        <v>348.45</v>
      </c>
      <c r="AD39" s="6">
        <v>272.70999999999998</v>
      </c>
      <c r="AE39" s="42">
        <v>621.16</v>
      </c>
      <c r="AF39" s="42">
        <v>639.53</v>
      </c>
      <c r="AG39" s="36">
        <v>-18.37</v>
      </c>
    </row>
    <row r="40" spans="1:33" ht="31.5" hidden="1">
      <c r="A40" s="28">
        <f t="shared" si="3"/>
        <v>38</v>
      </c>
      <c r="B40" s="43" t="s">
        <v>38</v>
      </c>
      <c r="C40" s="23" t="s">
        <v>130</v>
      </c>
      <c r="D40" s="37">
        <v>-159.6</v>
      </c>
      <c r="E40" s="44">
        <f t="shared" si="1"/>
        <v>-211801.84</v>
      </c>
      <c r="F40" s="8"/>
      <c r="G40" s="38">
        <f t="shared" si="4"/>
        <v>38</v>
      </c>
      <c r="H40" s="43" t="s">
        <v>38</v>
      </c>
      <c r="I40" s="23" t="s">
        <v>130</v>
      </c>
      <c r="J40" s="39">
        <v>-305.3</v>
      </c>
      <c r="K40" s="33">
        <f t="shared" si="2"/>
        <v>-211950.22</v>
      </c>
      <c r="L40" s="33">
        <f t="shared" si="0"/>
        <v>-145.69999999999999</v>
      </c>
      <c r="M40" s="8"/>
      <c r="N40" s="8"/>
      <c r="O40" s="8"/>
      <c r="P40" s="8"/>
      <c r="R40" s="10">
        <v>38</v>
      </c>
      <c r="S40" s="35" t="s">
        <v>20</v>
      </c>
      <c r="T40" s="5">
        <v>1556.68</v>
      </c>
      <c r="U40" s="6">
        <v>545.4</v>
      </c>
      <c r="V40" s="27">
        <v>2102.08</v>
      </c>
      <c r="W40" s="27">
        <v>2325.25</v>
      </c>
      <c r="X40" s="36">
        <v>-223.17</v>
      </c>
      <c r="Y40" t="s">
        <v>121</v>
      </c>
      <c r="AA40" s="14" t="s">
        <v>41</v>
      </c>
      <c r="AB40" s="15" t="s">
        <v>132</v>
      </c>
      <c r="AC40" s="5">
        <v>1489.05</v>
      </c>
      <c r="AD40" s="6">
        <v>856.94</v>
      </c>
      <c r="AE40" s="27">
        <v>2345.9899999999998</v>
      </c>
      <c r="AF40" s="27">
        <v>2096.5700000000002</v>
      </c>
      <c r="AG40" s="6">
        <v>249.42</v>
      </c>
    </row>
    <row r="41" spans="1:33" ht="15.75" hidden="1">
      <c r="A41" s="28">
        <f t="shared" si="3"/>
        <v>39</v>
      </c>
      <c r="B41" s="25" t="s">
        <v>39</v>
      </c>
      <c r="C41" s="26" t="s">
        <v>132</v>
      </c>
      <c r="D41" s="37"/>
      <c r="E41" s="30">
        <f t="shared" si="1"/>
        <v>-211801.84</v>
      </c>
      <c r="F41" s="8"/>
      <c r="G41" s="38">
        <f t="shared" si="4"/>
        <v>39</v>
      </c>
      <c r="H41" s="25" t="s">
        <v>39</v>
      </c>
      <c r="I41" s="26" t="s">
        <v>132</v>
      </c>
      <c r="J41" s="39"/>
      <c r="K41" s="33">
        <f t="shared" si="2"/>
        <v>-211950.22</v>
      </c>
      <c r="L41" s="33"/>
      <c r="M41" s="8"/>
      <c r="N41" s="8"/>
      <c r="O41" s="8"/>
      <c r="P41" s="8"/>
      <c r="R41" s="10">
        <v>39</v>
      </c>
      <c r="S41" s="35" t="s">
        <v>7</v>
      </c>
      <c r="T41" s="5">
        <v>3794.92</v>
      </c>
      <c r="U41" s="5">
        <v>1806.74</v>
      </c>
      <c r="V41" s="27">
        <v>5601.66</v>
      </c>
      <c r="W41" s="27">
        <v>6023.91</v>
      </c>
      <c r="X41" s="36">
        <v>-422.25</v>
      </c>
      <c r="Y41" t="s">
        <v>121</v>
      </c>
      <c r="AA41" s="14" t="s">
        <v>42</v>
      </c>
      <c r="AB41" s="15" t="s">
        <v>132</v>
      </c>
      <c r="AC41" s="5">
        <v>3570.21</v>
      </c>
      <c r="AD41" s="5">
        <v>3266.05</v>
      </c>
      <c r="AE41" s="27">
        <v>6836.26</v>
      </c>
      <c r="AF41" s="27">
        <v>6403.51</v>
      </c>
      <c r="AG41" s="6">
        <v>432.75</v>
      </c>
    </row>
    <row r="42" spans="1:33" ht="15.75" hidden="1">
      <c r="A42" s="28">
        <f t="shared" si="3"/>
        <v>40</v>
      </c>
      <c r="B42" s="14" t="s">
        <v>40</v>
      </c>
      <c r="C42" s="15" t="s">
        <v>132</v>
      </c>
      <c r="D42" s="37"/>
      <c r="E42" s="33">
        <f t="shared" si="1"/>
        <v>-211801.84</v>
      </c>
      <c r="F42" s="8"/>
      <c r="G42" s="38">
        <f t="shared" si="4"/>
        <v>40</v>
      </c>
      <c r="H42" s="14" t="s">
        <v>40</v>
      </c>
      <c r="I42" s="15" t="s">
        <v>132</v>
      </c>
      <c r="J42" s="39"/>
      <c r="K42" s="33">
        <f t="shared" si="2"/>
        <v>-211950.22</v>
      </c>
      <c r="L42" s="33"/>
      <c r="M42" s="8"/>
      <c r="N42" s="8"/>
      <c r="O42" s="8"/>
      <c r="P42" s="8"/>
      <c r="R42" s="10">
        <v>40</v>
      </c>
      <c r="S42" s="35" t="s">
        <v>96</v>
      </c>
      <c r="T42" s="5">
        <v>14251.72</v>
      </c>
      <c r="U42" s="5">
        <v>9374.75</v>
      </c>
      <c r="V42" s="27">
        <v>23626.47</v>
      </c>
      <c r="W42" s="27">
        <v>21760.18</v>
      </c>
      <c r="X42" s="5">
        <v>1866.29</v>
      </c>
      <c r="Y42" t="s">
        <v>121</v>
      </c>
      <c r="AA42" s="14" t="s">
        <v>43</v>
      </c>
      <c r="AB42" s="15" t="s">
        <v>132</v>
      </c>
      <c r="AC42" s="5">
        <v>1780.94</v>
      </c>
      <c r="AD42" s="5">
        <v>5372.13</v>
      </c>
      <c r="AE42" s="27">
        <v>7153.07</v>
      </c>
      <c r="AF42" s="27">
        <v>5004.87</v>
      </c>
      <c r="AG42" s="5">
        <v>2148.1999999999998</v>
      </c>
    </row>
    <row r="43" spans="1:33" ht="15.75" hidden="1">
      <c r="A43" s="28">
        <f t="shared" si="3"/>
        <v>41</v>
      </c>
      <c r="B43" s="14" t="s">
        <v>41</v>
      </c>
      <c r="C43" s="15" t="s">
        <v>132</v>
      </c>
      <c r="D43" s="37">
        <v>-16057.66</v>
      </c>
      <c r="E43" s="33">
        <f t="shared" si="1"/>
        <v>-227859.5</v>
      </c>
      <c r="F43" s="8"/>
      <c r="G43" s="38">
        <f t="shared" si="4"/>
        <v>41</v>
      </c>
      <c r="H43" s="14" t="s">
        <v>41</v>
      </c>
      <c r="I43" s="15" t="s">
        <v>132</v>
      </c>
      <c r="J43" s="39">
        <v>-16344.34</v>
      </c>
      <c r="K43" s="33">
        <f t="shared" si="2"/>
        <v>-228294.56</v>
      </c>
      <c r="L43" s="33">
        <f t="shared" si="0"/>
        <v>-286.68</v>
      </c>
      <c r="M43" s="8"/>
      <c r="N43" s="8"/>
      <c r="O43" s="8"/>
      <c r="P43" s="8"/>
      <c r="R43" s="10">
        <v>41</v>
      </c>
      <c r="S43" s="35" t="s">
        <v>62</v>
      </c>
      <c r="T43" s="5">
        <v>2071.2800000000002</v>
      </c>
      <c r="U43" s="5">
        <v>1379.96</v>
      </c>
      <c r="V43" s="27">
        <v>3451.24</v>
      </c>
      <c r="W43" s="27">
        <v>3780.31</v>
      </c>
      <c r="X43" s="36">
        <v>-329.07</v>
      </c>
      <c r="Y43" t="s">
        <v>121</v>
      </c>
      <c r="AA43" s="14" t="s">
        <v>44</v>
      </c>
      <c r="AB43" s="15" t="s">
        <v>132</v>
      </c>
      <c r="AC43" s="5">
        <v>1895.64</v>
      </c>
      <c r="AD43" s="5">
        <v>2228.2600000000002</v>
      </c>
      <c r="AE43" s="27">
        <v>4123.8999999999996</v>
      </c>
      <c r="AF43" s="27">
        <v>4440.6000000000004</v>
      </c>
      <c r="AG43" s="36">
        <v>-316.7</v>
      </c>
    </row>
    <row r="44" spans="1:33" ht="31.5" hidden="1">
      <c r="A44" s="28">
        <f t="shared" si="3"/>
        <v>42</v>
      </c>
      <c r="B44" s="14" t="s">
        <v>42</v>
      </c>
      <c r="C44" s="15" t="s">
        <v>132</v>
      </c>
      <c r="D44" s="37">
        <v>-1456.66</v>
      </c>
      <c r="E44" s="33">
        <f t="shared" si="1"/>
        <v>-229316.16</v>
      </c>
      <c r="F44" s="8"/>
      <c r="G44" s="38">
        <f t="shared" si="4"/>
        <v>42</v>
      </c>
      <c r="H44" s="14" t="s">
        <v>42</v>
      </c>
      <c r="I44" s="15" t="s">
        <v>132</v>
      </c>
      <c r="J44" s="39">
        <v>-1339.46</v>
      </c>
      <c r="K44" s="33">
        <f t="shared" si="2"/>
        <v>-229634.02</v>
      </c>
      <c r="L44" s="33">
        <f t="shared" si="0"/>
        <v>117.2</v>
      </c>
      <c r="M44" s="8"/>
      <c r="N44" s="8"/>
      <c r="O44" s="8"/>
      <c r="P44" s="8"/>
      <c r="R44" s="10">
        <v>42</v>
      </c>
      <c r="S44" s="35" t="s">
        <v>55</v>
      </c>
      <c r="T44" s="5">
        <v>1381.84</v>
      </c>
      <c r="U44" s="5">
        <v>3602.04</v>
      </c>
      <c r="V44" s="27">
        <v>4983.88</v>
      </c>
      <c r="W44" s="27">
        <v>7936.97</v>
      </c>
      <c r="X44" s="40">
        <v>-2953.09</v>
      </c>
      <c r="Y44" t="s">
        <v>121</v>
      </c>
      <c r="AA44" s="48" t="s">
        <v>45</v>
      </c>
      <c r="AB44" s="49" t="s">
        <v>132</v>
      </c>
      <c r="AC44" s="5">
        <v>2462.7600000000002</v>
      </c>
      <c r="AD44" s="6">
        <v>623.38</v>
      </c>
      <c r="AE44" s="27">
        <v>3086.14</v>
      </c>
      <c r="AF44" s="27">
        <v>3897.14</v>
      </c>
      <c r="AG44" s="36">
        <v>-811</v>
      </c>
    </row>
    <row r="45" spans="1:33" ht="15.75" hidden="1">
      <c r="A45" s="28">
        <f t="shared" si="3"/>
        <v>43</v>
      </c>
      <c r="B45" s="14" t="s">
        <v>43</v>
      </c>
      <c r="C45" s="15" t="s">
        <v>132</v>
      </c>
      <c r="D45" s="37">
        <v>-313.10000000000002</v>
      </c>
      <c r="E45" s="33">
        <f t="shared" si="1"/>
        <v>-229629.26</v>
      </c>
      <c r="F45" s="8"/>
      <c r="G45" s="38">
        <f t="shared" si="4"/>
        <v>43</v>
      </c>
      <c r="H45" s="14" t="s">
        <v>43</v>
      </c>
      <c r="I45" s="15" t="s">
        <v>132</v>
      </c>
      <c r="J45" s="39">
        <v>-248</v>
      </c>
      <c r="K45" s="33">
        <f t="shared" si="2"/>
        <v>-229882.02</v>
      </c>
      <c r="L45" s="33">
        <f t="shared" si="0"/>
        <v>65.099999999999994</v>
      </c>
      <c r="M45" s="8"/>
      <c r="N45" s="8"/>
      <c r="O45" s="8"/>
      <c r="P45" s="8"/>
      <c r="R45" s="10">
        <v>43</v>
      </c>
      <c r="S45" s="35" t="s">
        <v>56</v>
      </c>
      <c r="T45" s="5">
        <v>2715.51</v>
      </c>
      <c r="U45" s="5">
        <v>2441.14</v>
      </c>
      <c r="V45" s="27">
        <v>5156.6499999999996</v>
      </c>
      <c r="W45" s="27">
        <v>4651.3999999999996</v>
      </c>
      <c r="X45" s="6">
        <v>505.25</v>
      </c>
      <c r="Y45" t="s">
        <v>121</v>
      </c>
      <c r="AA45" s="50" t="s">
        <v>46</v>
      </c>
      <c r="AB45" s="49" t="s">
        <v>132</v>
      </c>
      <c r="AC45" s="6">
        <v>750.78</v>
      </c>
      <c r="AD45" s="5">
        <v>7378.78</v>
      </c>
      <c r="AE45" s="27">
        <v>8129.56</v>
      </c>
      <c r="AF45" s="27">
        <v>7566.54</v>
      </c>
      <c r="AG45" s="6">
        <v>563.02</v>
      </c>
    </row>
    <row r="46" spans="1:33" ht="15.75" hidden="1">
      <c r="A46" s="28">
        <f t="shared" si="3"/>
        <v>44</v>
      </c>
      <c r="B46" s="14" t="s">
        <v>44</v>
      </c>
      <c r="C46" s="15" t="s">
        <v>132</v>
      </c>
      <c r="D46" s="37">
        <v>-2476.38</v>
      </c>
      <c r="E46" s="33">
        <f t="shared" si="1"/>
        <v>-232105.64</v>
      </c>
      <c r="F46" s="8"/>
      <c r="G46" s="38">
        <f t="shared" si="4"/>
        <v>44</v>
      </c>
      <c r="H46" s="14" t="s">
        <v>44</v>
      </c>
      <c r="I46" s="15" t="s">
        <v>132</v>
      </c>
      <c r="J46" s="39">
        <v>-3018.38</v>
      </c>
      <c r="K46" s="33">
        <f t="shared" si="2"/>
        <v>-232900.4</v>
      </c>
      <c r="L46" s="33">
        <f t="shared" si="0"/>
        <v>-542</v>
      </c>
      <c r="M46" s="8"/>
      <c r="N46" s="8"/>
      <c r="O46" s="8"/>
      <c r="P46" s="8"/>
      <c r="R46" s="10">
        <v>44</v>
      </c>
      <c r="S46" s="35" t="s">
        <v>91</v>
      </c>
      <c r="T46" s="5">
        <v>23408.07</v>
      </c>
      <c r="U46" s="5">
        <v>30423.5</v>
      </c>
      <c r="V46" s="27">
        <v>53831.57</v>
      </c>
      <c r="W46" s="27">
        <v>49227.8</v>
      </c>
      <c r="X46" s="5">
        <v>4603.7700000000004</v>
      </c>
      <c r="Y46" t="s">
        <v>121</v>
      </c>
      <c r="AA46" s="14" t="s">
        <v>47</v>
      </c>
      <c r="AB46" s="15" t="s">
        <v>132</v>
      </c>
      <c r="AC46" s="5">
        <v>4240.04</v>
      </c>
      <c r="AD46" s="5">
        <v>17082.14</v>
      </c>
      <c r="AE46" s="27">
        <v>21322.18</v>
      </c>
      <c r="AF46" s="27">
        <v>19211.68</v>
      </c>
      <c r="AG46" s="5">
        <v>2110.5</v>
      </c>
    </row>
    <row r="47" spans="1:33" ht="15.75" hidden="1">
      <c r="A47" s="28">
        <f t="shared" si="3"/>
        <v>45</v>
      </c>
      <c r="B47" s="48" t="s">
        <v>45</v>
      </c>
      <c r="C47" s="49" t="s">
        <v>132</v>
      </c>
      <c r="D47" s="37"/>
      <c r="E47" s="33">
        <f t="shared" si="1"/>
        <v>-232105.64</v>
      </c>
      <c r="F47" s="8"/>
      <c r="G47" s="38">
        <f t="shared" si="4"/>
        <v>45</v>
      </c>
      <c r="H47" s="48" t="s">
        <v>45</v>
      </c>
      <c r="I47" s="49" t="s">
        <v>132</v>
      </c>
      <c r="J47" s="39"/>
      <c r="K47" s="33">
        <f t="shared" si="2"/>
        <v>-232900.4</v>
      </c>
      <c r="L47" s="33"/>
      <c r="M47" s="8"/>
      <c r="N47" s="8"/>
      <c r="O47" s="8"/>
      <c r="P47" s="8"/>
      <c r="R47" s="10">
        <v>45</v>
      </c>
      <c r="S47" s="35" t="s">
        <v>86</v>
      </c>
      <c r="T47" s="5">
        <v>5427.78</v>
      </c>
      <c r="U47" s="6">
        <v>845.44</v>
      </c>
      <c r="V47" s="27">
        <v>6273.22</v>
      </c>
      <c r="W47" s="27">
        <v>6415.68</v>
      </c>
      <c r="X47" s="36">
        <v>-142.46</v>
      </c>
      <c r="Y47" t="s">
        <v>121</v>
      </c>
      <c r="AA47" s="14" t="s">
        <v>48</v>
      </c>
      <c r="AB47" s="15" t="s">
        <v>132</v>
      </c>
      <c r="AC47" s="5">
        <v>1625.24</v>
      </c>
      <c r="AD47" s="5">
        <v>2398.31</v>
      </c>
      <c r="AE47" s="27">
        <v>4023.55</v>
      </c>
      <c r="AF47" s="27">
        <v>4466.75</v>
      </c>
      <c r="AG47" s="36">
        <v>-443.2</v>
      </c>
    </row>
    <row r="48" spans="1:33" ht="31.5" hidden="1">
      <c r="A48" s="28">
        <f t="shared" si="3"/>
        <v>46</v>
      </c>
      <c r="B48" s="50" t="s">
        <v>46</v>
      </c>
      <c r="C48" s="49" t="s">
        <v>132</v>
      </c>
      <c r="D48" s="37">
        <v>-18178.3</v>
      </c>
      <c r="E48" s="33">
        <f t="shared" si="1"/>
        <v>-250283.94</v>
      </c>
      <c r="F48" s="8"/>
      <c r="G48" s="38">
        <f t="shared" si="4"/>
        <v>46</v>
      </c>
      <c r="H48" s="50" t="s">
        <v>46</v>
      </c>
      <c r="I48" s="49" t="s">
        <v>132</v>
      </c>
      <c r="J48" s="39">
        <v>-18354.900000000001</v>
      </c>
      <c r="K48" s="33">
        <f t="shared" si="2"/>
        <v>-251255.3</v>
      </c>
      <c r="L48" s="33">
        <f t="shared" si="0"/>
        <v>-176.60000000000201</v>
      </c>
      <c r="M48" s="8"/>
      <c r="N48" s="8"/>
      <c r="O48" s="8"/>
      <c r="P48" s="8"/>
      <c r="R48" s="10">
        <v>46</v>
      </c>
      <c r="S48" s="35" t="s">
        <v>31</v>
      </c>
      <c r="T48" s="5">
        <v>3052.35</v>
      </c>
      <c r="U48" s="5">
        <v>2098.7399999999998</v>
      </c>
      <c r="V48" s="27">
        <v>5151.09</v>
      </c>
      <c r="W48" s="27">
        <v>4486.46</v>
      </c>
      <c r="X48" s="6">
        <v>664.63</v>
      </c>
      <c r="Y48" t="s">
        <v>121</v>
      </c>
      <c r="AA48" s="14" t="s">
        <v>49</v>
      </c>
      <c r="AB48" s="15" t="s">
        <v>132</v>
      </c>
      <c r="AC48" s="5">
        <v>5440.44</v>
      </c>
      <c r="AD48" s="5">
        <v>7242.73</v>
      </c>
      <c r="AE48" s="27">
        <v>12683.17</v>
      </c>
      <c r="AF48" s="27">
        <v>8751.35</v>
      </c>
      <c r="AG48" s="5">
        <v>3931.82</v>
      </c>
    </row>
    <row r="49" spans="1:33" ht="15.75" hidden="1">
      <c r="A49" s="28">
        <f t="shared" si="3"/>
        <v>47</v>
      </c>
      <c r="B49" s="14" t="s">
        <v>47</v>
      </c>
      <c r="C49" s="15" t="s">
        <v>132</v>
      </c>
      <c r="D49" s="37"/>
      <c r="E49" s="33">
        <f t="shared" si="1"/>
        <v>-250283.94</v>
      </c>
      <c r="F49" s="8"/>
      <c r="G49" s="38">
        <f t="shared" si="4"/>
        <v>47</v>
      </c>
      <c r="H49" s="14" t="s">
        <v>47</v>
      </c>
      <c r="I49" s="15" t="s">
        <v>132</v>
      </c>
      <c r="J49" s="39"/>
      <c r="K49" s="33">
        <f t="shared" si="2"/>
        <v>-251255.3</v>
      </c>
      <c r="L49" s="33"/>
      <c r="M49" s="8"/>
      <c r="N49" s="8"/>
      <c r="O49" s="8"/>
      <c r="P49" s="8"/>
      <c r="R49" s="10">
        <v>47</v>
      </c>
      <c r="S49" s="35" t="s">
        <v>94</v>
      </c>
      <c r="T49" s="5">
        <v>1077.8900000000001</v>
      </c>
      <c r="U49" s="6">
        <v>366.88</v>
      </c>
      <c r="V49" s="27">
        <v>1444.77</v>
      </c>
      <c r="W49" s="27">
        <v>1190.1600000000001</v>
      </c>
      <c r="X49" s="6">
        <v>254.61</v>
      </c>
      <c r="Y49" t="s">
        <v>121</v>
      </c>
      <c r="AA49" s="14" t="s">
        <v>50</v>
      </c>
      <c r="AB49" s="15" t="s">
        <v>132</v>
      </c>
      <c r="AC49" s="6">
        <v>251.3</v>
      </c>
      <c r="AD49" s="6">
        <v>0</v>
      </c>
      <c r="AE49" s="42">
        <v>251.3</v>
      </c>
      <c r="AF49" s="42">
        <v>183.57</v>
      </c>
      <c r="AG49" s="6">
        <v>67.73</v>
      </c>
    </row>
    <row r="50" spans="1:33" ht="15.75" hidden="1">
      <c r="A50" s="28">
        <f t="shared" si="3"/>
        <v>48</v>
      </c>
      <c r="B50" s="14" t="s">
        <v>48</v>
      </c>
      <c r="C50" s="15" t="s">
        <v>132</v>
      </c>
      <c r="D50" s="37">
        <v>-1279.42</v>
      </c>
      <c r="E50" s="33">
        <f t="shared" si="1"/>
        <v>-251563.36</v>
      </c>
      <c r="F50" s="8"/>
      <c r="G50" s="38">
        <f t="shared" si="4"/>
        <v>48</v>
      </c>
      <c r="H50" s="14" t="s">
        <v>48</v>
      </c>
      <c r="I50" s="15" t="s">
        <v>132</v>
      </c>
      <c r="J50" s="39">
        <v>-903.12</v>
      </c>
      <c r="K50" s="33">
        <f t="shared" si="2"/>
        <v>-252158.42</v>
      </c>
      <c r="L50" s="33">
        <f t="shared" si="0"/>
        <v>376.3</v>
      </c>
      <c r="M50" s="8"/>
      <c r="N50" s="8"/>
      <c r="O50" s="8"/>
      <c r="P50" s="8"/>
      <c r="R50" s="10">
        <v>48</v>
      </c>
      <c r="S50" s="35" t="s">
        <v>84</v>
      </c>
      <c r="T50" s="5">
        <v>7804.13</v>
      </c>
      <c r="U50" s="5">
        <v>19041.400000000001</v>
      </c>
      <c r="V50" s="27">
        <v>26845.53</v>
      </c>
      <c r="W50" s="27">
        <v>26729.35</v>
      </c>
      <c r="X50" s="6">
        <v>116.18</v>
      </c>
      <c r="Y50" t="s">
        <v>121</v>
      </c>
    </row>
    <row r="51" spans="1:33" ht="15.75" hidden="1">
      <c r="A51" s="28">
        <f t="shared" si="3"/>
        <v>49</v>
      </c>
      <c r="B51" s="14" t="s">
        <v>49</v>
      </c>
      <c r="C51" s="15" t="s">
        <v>132</v>
      </c>
      <c r="D51" s="37">
        <v>-1031.42</v>
      </c>
      <c r="E51" s="33">
        <f t="shared" si="1"/>
        <v>-252594.78</v>
      </c>
      <c r="F51" s="8"/>
      <c r="G51" s="38">
        <f t="shared" si="4"/>
        <v>49</v>
      </c>
      <c r="H51" s="14" t="s">
        <v>49</v>
      </c>
      <c r="I51" s="15" t="s">
        <v>132</v>
      </c>
      <c r="J51" s="39">
        <v>-843.42</v>
      </c>
      <c r="K51" s="33">
        <f t="shared" si="2"/>
        <v>-253001.84</v>
      </c>
      <c r="L51" s="33">
        <f t="shared" si="0"/>
        <v>188</v>
      </c>
      <c r="M51" s="8"/>
      <c r="N51" s="8"/>
      <c r="O51" s="8"/>
      <c r="P51" s="8"/>
      <c r="R51" s="10">
        <v>49</v>
      </c>
      <c r="S51" s="35" t="s">
        <v>38</v>
      </c>
      <c r="T51" s="5">
        <v>10627.85</v>
      </c>
      <c r="U51" s="5">
        <v>6754.13</v>
      </c>
      <c r="V51" s="27">
        <v>17381.98</v>
      </c>
      <c r="W51" s="27">
        <v>15937.86</v>
      </c>
      <c r="X51" s="5">
        <v>1444.12</v>
      </c>
      <c r="Y51" t="s">
        <v>121</v>
      </c>
      <c r="AA51" s="25" t="s">
        <v>51</v>
      </c>
      <c r="AB51" s="26" t="s">
        <v>133</v>
      </c>
      <c r="AC51" s="5">
        <v>7293.83</v>
      </c>
      <c r="AD51" s="5">
        <v>8294.23</v>
      </c>
      <c r="AE51" s="27">
        <v>15588.06</v>
      </c>
      <c r="AF51" s="27">
        <v>17273.009999999998</v>
      </c>
      <c r="AG51" s="40">
        <v>-1684.95</v>
      </c>
    </row>
    <row r="52" spans="1:33" ht="15.75" hidden="1">
      <c r="A52" s="28">
        <f t="shared" si="3"/>
        <v>50</v>
      </c>
      <c r="B52" s="43" t="s">
        <v>50</v>
      </c>
      <c r="C52" s="23" t="s">
        <v>132</v>
      </c>
      <c r="D52" s="37">
        <v>-730.26</v>
      </c>
      <c r="E52" s="33">
        <f t="shared" si="1"/>
        <v>-253325.04</v>
      </c>
      <c r="F52" s="8"/>
      <c r="G52" s="38">
        <f t="shared" si="4"/>
        <v>50</v>
      </c>
      <c r="H52" s="14" t="s">
        <v>50</v>
      </c>
      <c r="I52" s="15" t="s">
        <v>132</v>
      </c>
      <c r="J52" s="39">
        <v>-636.36</v>
      </c>
      <c r="K52" s="33">
        <f t="shared" si="2"/>
        <v>-253638.2</v>
      </c>
      <c r="L52" s="33">
        <f t="shared" si="0"/>
        <v>93.9</v>
      </c>
      <c r="M52" s="8"/>
      <c r="N52" s="8"/>
      <c r="O52" s="8"/>
      <c r="P52" s="8"/>
      <c r="R52" s="10">
        <v>50</v>
      </c>
      <c r="S52" s="35" t="s">
        <v>79</v>
      </c>
      <c r="T52" s="5">
        <v>10026.879999999999</v>
      </c>
      <c r="U52" s="5">
        <v>2971.95</v>
      </c>
      <c r="V52" s="27">
        <v>12998.83</v>
      </c>
      <c r="W52" s="27">
        <v>12300.49</v>
      </c>
      <c r="X52" s="6">
        <v>698.34</v>
      </c>
      <c r="Y52" t="s">
        <v>121</v>
      </c>
      <c r="AA52" s="14" t="s">
        <v>52</v>
      </c>
      <c r="AB52" s="15" t="s">
        <v>133</v>
      </c>
      <c r="AC52" s="5">
        <v>1754.5</v>
      </c>
      <c r="AD52" s="5">
        <v>1376</v>
      </c>
      <c r="AE52" s="27">
        <v>3130.5</v>
      </c>
      <c r="AF52" s="27">
        <v>3400.49</v>
      </c>
      <c r="AG52" s="36">
        <v>-269.99</v>
      </c>
    </row>
    <row r="53" spans="1:33" ht="15.75" hidden="1">
      <c r="A53" s="28">
        <f t="shared" si="3"/>
        <v>51</v>
      </c>
      <c r="B53" s="25" t="s">
        <v>51</v>
      </c>
      <c r="C53" s="26" t="s">
        <v>133</v>
      </c>
      <c r="D53" s="37">
        <v>-1162.22</v>
      </c>
      <c r="E53" s="33">
        <f t="shared" si="1"/>
        <v>-254487.26</v>
      </c>
      <c r="F53" s="8"/>
      <c r="G53" s="38">
        <f t="shared" si="4"/>
        <v>51</v>
      </c>
      <c r="H53" s="25" t="s">
        <v>51</v>
      </c>
      <c r="I53" s="26" t="s">
        <v>133</v>
      </c>
      <c r="J53" s="39">
        <v>-132.12</v>
      </c>
      <c r="K53" s="33">
        <f t="shared" si="2"/>
        <v>-253770.32</v>
      </c>
      <c r="L53" s="33">
        <f t="shared" si="0"/>
        <v>1030.0999999999999</v>
      </c>
      <c r="M53" s="8"/>
      <c r="N53" s="8"/>
      <c r="O53" s="8"/>
      <c r="P53" s="8"/>
      <c r="R53" s="10">
        <v>51</v>
      </c>
      <c r="S53" s="35" t="s">
        <v>89</v>
      </c>
      <c r="T53" s="5">
        <v>11021.29</v>
      </c>
      <c r="U53" s="5">
        <v>3584.27</v>
      </c>
      <c r="V53" s="27">
        <v>14605.56</v>
      </c>
      <c r="W53" s="27">
        <v>14083.52</v>
      </c>
      <c r="X53" s="6">
        <v>522.04</v>
      </c>
      <c r="Y53" t="s">
        <v>121</v>
      </c>
      <c r="AA53" s="14" t="s">
        <v>53</v>
      </c>
      <c r="AB53" s="15" t="s">
        <v>133</v>
      </c>
      <c r="AC53" s="5">
        <v>6847</v>
      </c>
      <c r="AD53" s="5">
        <v>2933.69</v>
      </c>
      <c r="AE53" s="27">
        <v>9780.69</v>
      </c>
      <c r="AF53" s="27">
        <v>9052.0499999999993</v>
      </c>
      <c r="AG53" s="6">
        <v>728.64</v>
      </c>
    </row>
    <row r="54" spans="1:33" ht="15.75" hidden="1">
      <c r="A54" s="28">
        <f t="shared" si="3"/>
        <v>52</v>
      </c>
      <c r="B54" s="14" t="s">
        <v>52</v>
      </c>
      <c r="C54" s="15" t="s">
        <v>133</v>
      </c>
      <c r="D54" s="37"/>
      <c r="E54" s="33">
        <f t="shared" si="1"/>
        <v>-254487.26</v>
      </c>
      <c r="F54" s="8"/>
      <c r="G54" s="38">
        <f t="shared" si="4"/>
        <v>52</v>
      </c>
      <c r="H54" s="14" t="s">
        <v>52</v>
      </c>
      <c r="I54" s="15" t="s">
        <v>133</v>
      </c>
      <c r="J54" s="39"/>
      <c r="K54" s="33">
        <f t="shared" si="2"/>
        <v>-253770.32</v>
      </c>
      <c r="L54" s="33"/>
      <c r="M54" s="8"/>
      <c r="N54" s="8"/>
      <c r="O54" s="8"/>
      <c r="P54" s="8"/>
      <c r="R54" s="10">
        <v>52</v>
      </c>
      <c r="S54" s="35" t="s">
        <v>81</v>
      </c>
      <c r="T54" s="5">
        <v>2419.4899999999998</v>
      </c>
      <c r="U54" s="5">
        <v>1482.24</v>
      </c>
      <c r="V54" s="27">
        <v>3901.73</v>
      </c>
      <c r="W54" s="27">
        <v>3664.18</v>
      </c>
      <c r="X54" s="6">
        <v>237.55</v>
      </c>
      <c r="Y54" t="s">
        <v>121</v>
      </c>
      <c r="AA54" s="14" t="s">
        <v>54</v>
      </c>
      <c r="AB54" s="15" t="s">
        <v>133</v>
      </c>
      <c r="AC54" s="5">
        <v>15109.04</v>
      </c>
      <c r="AD54" s="5">
        <v>7291.02</v>
      </c>
      <c r="AE54" s="27">
        <v>22400.06</v>
      </c>
      <c r="AF54" s="27">
        <v>19490.240000000002</v>
      </c>
      <c r="AG54" s="5">
        <v>2909.82</v>
      </c>
    </row>
    <row r="55" spans="1:33" ht="15.75" hidden="1">
      <c r="A55" s="28">
        <f t="shared" si="3"/>
        <v>53</v>
      </c>
      <c r="B55" s="14" t="s">
        <v>53</v>
      </c>
      <c r="C55" s="15" t="s">
        <v>133</v>
      </c>
      <c r="D55" s="37">
        <v>-760.32</v>
      </c>
      <c r="E55" s="33">
        <f t="shared" si="1"/>
        <v>-255247.58</v>
      </c>
      <c r="F55" s="8"/>
      <c r="G55" s="38">
        <f t="shared" si="4"/>
        <v>53</v>
      </c>
      <c r="H55" s="14" t="s">
        <v>53</v>
      </c>
      <c r="I55" s="15" t="s">
        <v>133</v>
      </c>
      <c r="J55" s="39">
        <v>-632.41999999999996</v>
      </c>
      <c r="K55" s="33">
        <f t="shared" si="2"/>
        <v>-254402.74</v>
      </c>
      <c r="L55" s="33">
        <f t="shared" si="0"/>
        <v>127.9</v>
      </c>
      <c r="M55" s="8"/>
      <c r="N55" s="8"/>
      <c r="O55" s="8"/>
      <c r="P55" s="8"/>
      <c r="R55" s="10">
        <v>53</v>
      </c>
      <c r="S55" s="35" t="s">
        <v>82</v>
      </c>
      <c r="T55" s="5">
        <v>1256.17</v>
      </c>
      <c r="U55" s="6">
        <v>401</v>
      </c>
      <c r="V55" s="27">
        <v>1657.17</v>
      </c>
      <c r="W55" s="27">
        <v>2057.67</v>
      </c>
      <c r="X55" s="36">
        <v>-400.5</v>
      </c>
      <c r="Y55" t="s">
        <v>121</v>
      </c>
      <c r="AA55" s="14" t="s">
        <v>55</v>
      </c>
      <c r="AB55" s="15" t="s">
        <v>133</v>
      </c>
      <c r="AC55" s="5">
        <v>1381.84</v>
      </c>
      <c r="AD55" s="5">
        <v>3602.04</v>
      </c>
      <c r="AE55" s="27">
        <v>4983.88</v>
      </c>
      <c r="AF55" s="27">
        <v>7936.97</v>
      </c>
      <c r="AG55" s="40">
        <v>-2953.09</v>
      </c>
    </row>
    <row r="56" spans="1:33" ht="15.75" hidden="1">
      <c r="A56" s="28">
        <f t="shared" si="3"/>
        <v>54</v>
      </c>
      <c r="B56" s="14" t="s">
        <v>54</v>
      </c>
      <c r="C56" s="15" t="s">
        <v>133</v>
      </c>
      <c r="D56" s="37"/>
      <c r="E56" s="33">
        <f t="shared" si="1"/>
        <v>-255247.58</v>
      </c>
      <c r="F56" s="8"/>
      <c r="G56" s="38">
        <f t="shared" si="4"/>
        <v>54</v>
      </c>
      <c r="H56" s="14" t="s">
        <v>54</v>
      </c>
      <c r="I56" s="15" t="s">
        <v>133</v>
      </c>
      <c r="J56" s="39"/>
      <c r="K56" s="33">
        <f t="shared" si="2"/>
        <v>-254402.74</v>
      </c>
      <c r="L56" s="33"/>
      <c r="M56" s="8"/>
      <c r="N56" s="8"/>
      <c r="O56" s="8"/>
      <c r="P56" s="8"/>
      <c r="R56" s="10">
        <v>54</v>
      </c>
      <c r="S56" s="35" t="s">
        <v>83</v>
      </c>
      <c r="T56" s="5">
        <v>3729.94</v>
      </c>
      <c r="U56" s="5">
        <v>1884.73</v>
      </c>
      <c r="V56" s="27">
        <v>5614.67</v>
      </c>
      <c r="W56" s="27">
        <v>5248.77</v>
      </c>
      <c r="X56" s="6">
        <v>365.9</v>
      </c>
      <c r="Y56" t="s">
        <v>121</v>
      </c>
      <c r="AA56" s="14" t="s">
        <v>56</v>
      </c>
      <c r="AB56" s="15" t="s">
        <v>133</v>
      </c>
      <c r="AC56" s="5">
        <v>2715.51</v>
      </c>
      <c r="AD56" s="5">
        <v>2441.14</v>
      </c>
      <c r="AE56" s="27">
        <v>5156.6499999999996</v>
      </c>
      <c r="AF56" s="27">
        <v>4651.3999999999996</v>
      </c>
      <c r="AG56" s="6">
        <v>505.25</v>
      </c>
    </row>
    <row r="57" spans="1:33" ht="31.5" hidden="1">
      <c r="A57" s="28">
        <f t="shared" si="3"/>
        <v>55</v>
      </c>
      <c r="B57" s="14" t="s">
        <v>55</v>
      </c>
      <c r="C57" s="15" t="s">
        <v>133</v>
      </c>
      <c r="D57" s="37">
        <v>-5451.53</v>
      </c>
      <c r="E57" s="33">
        <f t="shared" si="1"/>
        <v>-260699.11</v>
      </c>
      <c r="F57" s="8"/>
      <c r="G57" s="38">
        <f t="shared" si="4"/>
        <v>55</v>
      </c>
      <c r="H57" s="14" t="s">
        <v>55</v>
      </c>
      <c r="I57" s="15" t="s">
        <v>133</v>
      </c>
      <c r="J57" s="39">
        <v>-5401.63</v>
      </c>
      <c r="K57" s="33">
        <f t="shared" si="2"/>
        <v>-259804.37</v>
      </c>
      <c r="L57" s="33">
        <f t="shared" si="0"/>
        <v>49.899999999999601</v>
      </c>
      <c r="M57" s="8"/>
      <c r="N57" s="8"/>
      <c r="O57" s="8"/>
      <c r="P57" s="8"/>
      <c r="R57" s="10">
        <v>55</v>
      </c>
      <c r="S57" s="35" t="s">
        <v>9</v>
      </c>
      <c r="T57" s="5">
        <v>4145.78</v>
      </c>
      <c r="U57" s="5">
        <v>2445.3000000000002</v>
      </c>
      <c r="V57" s="27">
        <v>6591.08</v>
      </c>
      <c r="W57" s="27">
        <v>8028.44</v>
      </c>
      <c r="X57" s="40">
        <v>-1437.36</v>
      </c>
      <c r="Y57" t="s">
        <v>121</v>
      </c>
      <c r="AA57" s="14" t="s">
        <v>57</v>
      </c>
      <c r="AB57" s="15" t="s">
        <v>133</v>
      </c>
      <c r="AC57" s="5">
        <v>2556.58</v>
      </c>
      <c r="AD57" s="5">
        <v>2903.59</v>
      </c>
      <c r="AE57" s="27">
        <v>5460.17</v>
      </c>
      <c r="AF57" s="27">
        <v>6222.13</v>
      </c>
      <c r="AG57" s="36">
        <v>-761.96</v>
      </c>
    </row>
    <row r="58" spans="1:33" ht="15.75" hidden="1">
      <c r="A58" s="28">
        <f t="shared" si="3"/>
        <v>56</v>
      </c>
      <c r="B58" s="14" t="s">
        <v>56</v>
      </c>
      <c r="C58" s="15" t="s">
        <v>133</v>
      </c>
      <c r="D58" s="37">
        <v>-4067.62</v>
      </c>
      <c r="E58" s="33">
        <f t="shared" si="1"/>
        <v>-264766.73</v>
      </c>
      <c r="F58" s="8"/>
      <c r="G58" s="38">
        <f t="shared" si="4"/>
        <v>56</v>
      </c>
      <c r="H58" s="14" t="s">
        <v>56</v>
      </c>
      <c r="I58" s="15" t="s">
        <v>133</v>
      </c>
      <c r="J58" s="39">
        <v>-4068.22</v>
      </c>
      <c r="K58" s="33">
        <f t="shared" si="2"/>
        <v>-263872.59000000003</v>
      </c>
      <c r="L58" s="33">
        <f t="shared" si="0"/>
        <v>-0.59999999999990905</v>
      </c>
      <c r="M58" s="8"/>
      <c r="N58" s="8"/>
      <c r="O58" s="8"/>
      <c r="P58" s="8"/>
      <c r="R58" s="10">
        <v>56</v>
      </c>
      <c r="S58" s="35" t="s">
        <v>37</v>
      </c>
      <c r="T58" s="5">
        <v>2100.2399999999998</v>
      </c>
      <c r="U58" s="5">
        <v>3086.16</v>
      </c>
      <c r="V58" s="27">
        <v>5186.3999999999996</v>
      </c>
      <c r="W58" s="27">
        <v>3937.16</v>
      </c>
      <c r="X58" s="5">
        <v>1249.24</v>
      </c>
      <c r="Y58" t="s">
        <v>121</v>
      </c>
      <c r="AA58" s="43" t="s">
        <v>58</v>
      </c>
      <c r="AB58" s="23" t="s">
        <v>133</v>
      </c>
      <c r="AC58" s="6">
        <v>732.05</v>
      </c>
      <c r="AD58" s="5">
        <v>1209.3499999999999</v>
      </c>
      <c r="AE58" s="27">
        <v>1941.4</v>
      </c>
      <c r="AF58" s="27">
        <v>1892.98</v>
      </c>
      <c r="AG58" s="6">
        <v>48.42</v>
      </c>
    </row>
    <row r="59" spans="1:33" ht="31.5" hidden="1">
      <c r="A59" s="28">
        <f t="shared" si="3"/>
        <v>57</v>
      </c>
      <c r="B59" s="14" t="s">
        <v>57</v>
      </c>
      <c r="C59" s="15" t="s">
        <v>133</v>
      </c>
      <c r="D59" s="37"/>
      <c r="E59" s="33">
        <f t="shared" si="1"/>
        <v>-264766.73</v>
      </c>
      <c r="F59" s="8"/>
      <c r="G59" s="38">
        <f t="shared" si="4"/>
        <v>57</v>
      </c>
      <c r="H59" s="14" t="s">
        <v>57</v>
      </c>
      <c r="I59" s="15" t="s">
        <v>133</v>
      </c>
      <c r="J59" s="39"/>
      <c r="K59" s="33">
        <f t="shared" si="2"/>
        <v>-263872.59000000003</v>
      </c>
      <c r="L59" s="33"/>
      <c r="M59" s="8"/>
      <c r="N59" s="8"/>
      <c r="O59" s="8"/>
      <c r="P59" s="8"/>
      <c r="R59" s="10">
        <v>57</v>
      </c>
      <c r="S59" s="35" t="s">
        <v>26</v>
      </c>
      <c r="T59" s="6">
        <v>908.46</v>
      </c>
      <c r="U59" s="5">
        <v>1475.62</v>
      </c>
      <c r="V59" s="27">
        <v>2384.08</v>
      </c>
      <c r="W59" s="27">
        <v>2937.86</v>
      </c>
      <c r="X59" s="36">
        <v>-553.78</v>
      </c>
      <c r="Y59" t="s">
        <v>121</v>
      </c>
    </row>
    <row r="60" spans="1:33" ht="15.75" hidden="1">
      <c r="A60" s="28">
        <f t="shared" si="3"/>
        <v>58</v>
      </c>
      <c r="B60" s="43" t="s">
        <v>58</v>
      </c>
      <c r="C60" s="23" t="s">
        <v>133</v>
      </c>
      <c r="D60" s="37">
        <v>-10997.8</v>
      </c>
      <c r="E60" s="33">
        <f t="shared" si="1"/>
        <v>-275764.53000000003</v>
      </c>
      <c r="F60" s="8"/>
      <c r="G60" s="38">
        <f t="shared" si="4"/>
        <v>58</v>
      </c>
      <c r="H60" s="43" t="s">
        <v>58</v>
      </c>
      <c r="I60" s="23" t="s">
        <v>133</v>
      </c>
      <c r="J60" s="39">
        <v>-10463</v>
      </c>
      <c r="K60" s="33">
        <f t="shared" si="2"/>
        <v>-274335.59000000003</v>
      </c>
      <c r="L60" s="33">
        <f t="shared" si="0"/>
        <v>534.79999999999905</v>
      </c>
      <c r="M60" s="8"/>
      <c r="N60" s="8"/>
      <c r="O60" s="8"/>
      <c r="P60" s="8"/>
      <c r="R60" s="10">
        <v>58</v>
      </c>
      <c r="S60" s="35" t="s">
        <v>36</v>
      </c>
      <c r="T60" s="5">
        <v>1657.34</v>
      </c>
      <c r="U60" s="5">
        <v>2587.92</v>
      </c>
      <c r="V60" s="27">
        <v>4245.26</v>
      </c>
      <c r="W60" s="27">
        <v>5488.05</v>
      </c>
      <c r="X60" s="40">
        <v>-1242.79</v>
      </c>
      <c r="Y60" t="s">
        <v>121</v>
      </c>
      <c r="AA60" s="25" t="s">
        <v>59</v>
      </c>
      <c r="AB60" s="26" t="s">
        <v>134</v>
      </c>
      <c r="AC60" s="5">
        <v>2960</v>
      </c>
      <c r="AD60" s="5">
        <v>3109.75</v>
      </c>
      <c r="AE60" s="27">
        <v>6069.75</v>
      </c>
      <c r="AF60" s="27">
        <v>6200.13</v>
      </c>
      <c r="AG60" s="36">
        <v>-130.38</v>
      </c>
    </row>
    <row r="61" spans="1:33" ht="15.75" hidden="1">
      <c r="A61" s="28">
        <f t="shared" si="3"/>
        <v>59</v>
      </c>
      <c r="B61" s="25" t="s">
        <v>59</v>
      </c>
      <c r="C61" s="26" t="s">
        <v>134</v>
      </c>
      <c r="D61" s="37"/>
      <c r="E61" s="33">
        <f t="shared" si="1"/>
        <v>-275764.53000000003</v>
      </c>
      <c r="F61" s="8"/>
      <c r="G61" s="38">
        <f t="shared" si="4"/>
        <v>59</v>
      </c>
      <c r="H61" s="25" t="s">
        <v>59</v>
      </c>
      <c r="I61" s="26" t="s">
        <v>134</v>
      </c>
      <c r="J61" s="39"/>
      <c r="K61" s="33">
        <f t="shared" si="2"/>
        <v>-274335.59000000003</v>
      </c>
      <c r="L61" s="33"/>
      <c r="M61" s="8"/>
      <c r="N61" s="8"/>
      <c r="O61" s="8"/>
      <c r="P61" s="8"/>
      <c r="R61" s="10">
        <v>59</v>
      </c>
      <c r="S61" s="35" t="s">
        <v>58</v>
      </c>
      <c r="T61" s="6">
        <v>732.05</v>
      </c>
      <c r="U61" s="5">
        <v>1209.3499999999999</v>
      </c>
      <c r="V61" s="27">
        <v>1941.4</v>
      </c>
      <c r="W61" s="27">
        <v>1892.98</v>
      </c>
      <c r="X61" s="6">
        <v>48.42</v>
      </c>
      <c r="Y61" t="s">
        <v>121</v>
      </c>
      <c r="AA61" s="14" t="s">
        <v>60</v>
      </c>
      <c r="AB61" s="15" t="s">
        <v>134</v>
      </c>
      <c r="AC61" s="5">
        <v>3325.11</v>
      </c>
      <c r="AD61" s="5">
        <v>2739.86</v>
      </c>
      <c r="AE61" s="27">
        <v>6064.97</v>
      </c>
      <c r="AF61" s="27">
        <v>4645.8599999999997</v>
      </c>
      <c r="AG61" s="5">
        <v>1419.11</v>
      </c>
    </row>
    <row r="62" spans="1:33" ht="31.5" hidden="1">
      <c r="A62" s="28">
        <f t="shared" si="3"/>
        <v>60</v>
      </c>
      <c r="B62" s="14" t="s">
        <v>60</v>
      </c>
      <c r="C62" s="15" t="s">
        <v>134</v>
      </c>
      <c r="D62" s="37">
        <v>-93.36</v>
      </c>
      <c r="E62" s="33">
        <f t="shared" si="1"/>
        <v>-275857.89</v>
      </c>
      <c r="F62" s="8"/>
      <c r="G62" s="38">
        <f t="shared" si="4"/>
        <v>60</v>
      </c>
      <c r="H62" s="14" t="s">
        <v>60</v>
      </c>
      <c r="I62" s="15" t="s">
        <v>134</v>
      </c>
      <c r="J62" s="39">
        <v>-412.48</v>
      </c>
      <c r="K62" s="33">
        <f t="shared" si="2"/>
        <v>-274748.07</v>
      </c>
      <c r="L62" s="33">
        <f t="shared" si="0"/>
        <v>-319.12</v>
      </c>
      <c r="M62" s="8"/>
      <c r="N62" s="8"/>
      <c r="O62" s="8"/>
      <c r="P62" s="8"/>
      <c r="R62" s="10">
        <v>60</v>
      </c>
      <c r="S62" s="35" t="s">
        <v>80</v>
      </c>
      <c r="T62" s="5">
        <v>3246.12</v>
      </c>
      <c r="U62" s="5">
        <v>1427.03</v>
      </c>
      <c r="V62" s="27">
        <v>4673.1499999999996</v>
      </c>
      <c r="W62" s="27">
        <v>4492.12</v>
      </c>
      <c r="X62" s="6">
        <v>181.03</v>
      </c>
      <c r="Y62" t="s">
        <v>121</v>
      </c>
      <c r="AA62" s="14" t="s">
        <v>61</v>
      </c>
      <c r="AB62" s="15" t="s">
        <v>134</v>
      </c>
      <c r="AC62" s="5">
        <v>1075.8399999999999</v>
      </c>
      <c r="AD62" s="5">
        <v>2351.94</v>
      </c>
      <c r="AE62" s="27">
        <v>3427.78</v>
      </c>
      <c r="AF62" s="27">
        <v>4551.26</v>
      </c>
      <c r="AG62" s="40">
        <v>-1123.48</v>
      </c>
    </row>
    <row r="63" spans="1:33" ht="31.5" hidden="1">
      <c r="A63" s="28">
        <f t="shared" si="3"/>
        <v>61</v>
      </c>
      <c r="B63" s="14" t="s">
        <v>61</v>
      </c>
      <c r="C63" s="15" t="s">
        <v>134</v>
      </c>
      <c r="D63" s="37"/>
      <c r="E63" s="33">
        <f t="shared" si="1"/>
        <v>-275857.89</v>
      </c>
      <c r="F63" s="8"/>
      <c r="G63" s="38">
        <f t="shared" si="4"/>
        <v>61</v>
      </c>
      <c r="H63" s="14" t="s">
        <v>61</v>
      </c>
      <c r="I63" s="15" t="s">
        <v>134</v>
      </c>
      <c r="J63" s="39"/>
      <c r="K63" s="33">
        <f t="shared" si="2"/>
        <v>-274748.07</v>
      </c>
      <c r="L63" s="33"/>
      <c r="M63" s="8"/>
      <c r="N63" s="8"/>
      <c r="O63" s="8"/>
      <c r="P63" s="8"/>
      <c r="R63" s="10">
        <v>61</v>
      </c>
      <c r="S63" s="35" t="s">
        <v>70</v>
      </c>
      <c r="T63" s="5">
        <v>1542.17</v>
      </c>
      <c r="U63" s="5">
        <v>1965.24</v>
      </c>
      <c r="V63" s="27">
        <v>3507.41</v>
      </c>
      <c r="W63" s="27">
        <v>3447.9</v>
      </c>
      <c r="X63" s="6">
        <v>59.51</v>
      </c>
      <c r="Y63" t="s">
        <v>121</v>
      </c>
      <c r="AA63" s="14" t="s">
        <v>62</v>
      </c>
      <c r="AB63" s="15" t="s">
        <v>134</v>
      </c>
      <c r="AC63" s="5">
        <v>2071.2800000000002</v>
      </c>
      <c r="AD63" s="5">
        <v>1379.96</v>
      </c>
      <c r="AE63" s="27">
        <v>3451.24</v>
      </c>
      <c r="AF63" s="27">
        <v>3780.31</v>
      </c>
      <c r="AG63" s="36">
        <v>-329.07</v>
      </c>
    </row>
    <row r="64" spans="1:33" ht="31.5" hidden="1">
      <c r="A64" s="28">
        <f t="shared" si="3"/>
        <v>62</v>
      </c>
      <c r="B64" s="14" t="s">
        <v>62</v>
      </c>
      <c r="C64" s="15" t="s">
        <v>134</v>
      </c>
      <c r="D64" s="37"/>
      <c r="E64" s="33">
        <f t="shared" si="1"/>
        <v>-275857.89</v>
      </c>
      <c r="F64" s="8"/>
      <c r="G64" s="38">
        <f t="shared" si="4"/>
        <v>62</v>
      </c>
      <c r="H64" s="14" t="s">
        <v>62</v>
      </c>
      <c r="I64" s="15" t="s">
        <v>134</v>
      </c>
      <c r="J64" s="39"/>
      <c r="K64" s="33">
        <f t="shared" si="2"/>
        <v>-274748.07</v>
      </c>
      <c r="L64" s="33"/>
      <c r="M64" s="8"/>
      <c r="N64" s="8"/>
      <c r="O64" s="8"/>
      <c r="P64" s="8"/>
      <c r="R64" s="10">
        <v>62</v>
      </c>
      <c r="S64" s="35" t="s">
        <v>71</v>
      </c>
      <c r="T64" s="5">
        <v>3015.33</v>
      </c>
      <c r="U64" s="5">
        <v>4209.84</v>
      </c>
      <c r="V64" s="27">
        <v>7225.17</v>
      </c>
      <c r="W64" s="27">
        <v>7390</v>
      </c>
      <c r="X64" s="36">
        <v>-164.83</v>
      </c>
      <c r="Y64" t="s">
        <v>121</v>
      </c>
      <c r="AA64" s="14" t="s">
        <v>63</v>
      </c>
      <c r="AB64" s="15" t="s">
        <v>134</v>
      </c>
      <c r="AC64" s="5">
        <v>1938.86</v>
      </c>
      <c r="AD64" s="5">
        <v>2420.52</v>
      </c>
      <c r="AE64" s="27">
        <v>4359.38</v>
      </c>
      <c r="AF64" s="27">
        <v>4586.08</v>
      </c>
      <c r="AG64" s="36">
        <v>-226.7</v>
      </c>
    </row>
    <row r="65" spans="1:33" ht="31.5" hidden="1">
      <c r="A65" s="28">
        <f t="shared" si="3"/>
        <v>63</v>
      </c>
      <c r="B65" s="14" t="s">
        <v>63</v>
      </c>
      <c r="C65" s="15" t="s">
        <v>134</v>
      </c>
      <c r="D65" s="37"/>
      <c r="E65" s="33">
        <f t="shared" si="1"/>
        <v>-275857.89</v>
      </c>
      <c r="F65" s="8"/>
      <c r="G65" s="38">
        <f t="shared" si="4"/>
        <v>63</v>
      </c>
      <c r="H65" s="14" t="s">
        <v>63</v>
      </c>
      <c r="I65" s="15" t="s">
        <v>134</v>
      </c>
      <c r="J65" s="39"/>
      <c r="K65" s="33">
        <f t="shared" si="2"/>
        <v>-274748.07</v>
      </c>
      <c r="L65" s="33"/>
      <c r="M65" s="8"/>
      <c r="N65" s="8"/>
      <c r="O65" s="8"/>
      <c r="P65" s="8"/>
      <c r="R65" s="10">
        <v>63</v>
      </c>
      <c r="S65" s="35" t="s">
        <v>72</v>
      </c>
      <c r="T65" s="5">
        <v>3617.43</v>
      </c>
      <c r="U65" s="5">
        <v>6263.53</v>
      </c>
      <c r="V65" s="27">
        <v>9880.9599999999991</v>
      </c>
      <c r="W65" s="27">
        <v>9929.81</v>
      </c>
      <c r="X65" s="36">
        <v>-48.85</v>
      </c>
      <c r="Y65" t="s">
        <v>121</v>
      </c>
      <c r="AA65" s="14" t="s">
        <v>64</v>
      </c>
      <c r="AB65" s="15" t="s">
        <v>134</v>
      </c>
      <c r="AC65" s="5">
        <v>10458.290000000001</v>
      </c>
      <c r="AD65" s="5">
        <v>16056.92</v>
      </c>
      <c r="AE65" s="27">
        <v>26515.21</v>
      </c>
      <c r="AF65" s="27">
        <v>13321.33</v>
      </c>
      <c r="AG65" s="5">
        <v>13193.88</v>
      </c>
    </row>
    <row r="66" spans="1:33" ht="31.5" hidden="1">
      <c r="A66" s="28">
        <f t="shared" si="3"/>
        <v>64</v>
      </c>
      <c r="B66" s="14" t="s">
        <v>64</v>
      </c>
      <c r="C66" s="15" t="s">
        <v>134</v>
      </c>
      <c r="D66" s="37"/>
      <c r="E66" s="33">
        <f t="shared" si="1"/>
        <v>-275857.89</v>
      </c>
      <c r="F66" s="8"/>
      <c r="G66" s="38">
        <f t="shared" si="4"/>
        <v>64</v>
      </c>
      <c r="H66" s="14" t="s">
        <v>64</v>
      </c>
      <c r="I66" s="15" t="s">
        <v>134</v>
      </c>
      <c r="J66" s="39">
        <v>-46.45</v>
      </c>
      <c r="K66" s="33">
        <f t="shared" si="2"/>
        <v>-274794.52</v>
      </c>
      <c r="L66" s="33">
        <f t="shared" si="0"/>
        <v>-46.45</v>
      </c>
      <c r="M66" s="8"/>
      <c r="N66" s="25" t="s">
        <v>1</v>
      </c>
      <c r="O66" s="26" t="s">
        <v>119</v>
      </c>
      <c r="P66" s="1">
        <v>-4103.2700000000004</v>
      </c>
      <c r="R66" s="10">
        <v>64</v>
      </c>
      <c r="S66" s="35" t="s">
        <v>61</v>
      </c>
      <c r="T66" s="5">
        <v>1075.8399999999999</v>
      </c>
      <c r="U66" s="5">
        <v>2351.94</v>
      </c>
      <c r="V66" s="27">
        <v>3427.78</v>
      </c>
      <c r="W66" s="27">
        <v>4551.26</v>
      </c>
      <c r="X66" s="40">
        <v>-1123.48</v>
      </c>
      <c r="Y66" t="s">
        <v>121</v>
      </c>
      <c r="AA66" s="14" t="s">
        <v>65</v>
      </c>
      <c r="AB66" s="15" t="s">
        <v>134</v>
      </c>
      <c r="AC66" s="5">
        <v>2201.29</v>
      </c>
      <c r="AD66" s="5">
        <v>7196.89</v>
      </c>
      <c r="AE66" s="27">
        <v>9398.18</v>
      </c>
      <c r="AF66" s="27">
        <v>6997.64</v>
      </c>
      <c r="AG66" s="5">
        <v>2400.54</v>
      </c>
    </row>
    <row r="67" spans="1:33" ht="15.75" hidden="1">
      <c r="A67" s="28">
        <f t="shared" si="3"/>
        <v>65</v>
      </c>
      <c r="B67" s="14" t="s">
        <v>65</v>
      </c>
      <c r="C67" s="15" t="s">
        <v>134</v>
      </c>
      <c r="D67" s="37"/>
      <c r="E67" s="33">
        <f t="shared" si="1"/>
        <v>-275857.89</v>
      </c>
      <c r="F67" s="8"/>
      <c r="G67" s="38">
        <f t="shared" si="4"/>
        <v>65</v>
      </c>
      <c r="H67" s="14" t="s">
        <v>65</v>
      </c>
      <c r="I67" s="15" t="s">
        <v>134</v>
      </c>
      <c r="J67" s="39"/>
      <c r="K67" s="33">
        <f t="shared" si="2"/>
        <v>-274794.52</v>
      </c>
      <c r="L67" s="33"/>
      <c r="M67" s="8"/>
      <c r="N67" s="14" t="s">
        <v>2</v>
      </c>
      <c r="O67" s="15" t="s">
        <v>119</v>
      </c>
      <c r="P67" s="1">
        <v>-1866.5</v>
      </c>
      <c r="R67" s="10">
        <v>65</v>
      </c>
      <c r="S67" s="35" t="s">
        <v>66</v>
      </c>
      <c r="T67" s="5">
        <v>7232.69</v>
      </c>
      <c r="U67" s="5">
        <v>3646.08</v>
      </c>
      <c r="V67" s="27">
        <v>10878.77</v>
      </c>
      <c r="W67" s="27">
        <v>11126.66</v>
      </c>
      <c r="X67" s="36">
        <v>-247.89</v>
      </c>
      <c r="Y67" t="s">
        <v>121</v>
      </c>
      <c r="AA67" s="43" t="s">
        <v>66</v>
      </c>
      <c r="AB67" s="23" t="s">
        <v>134</v>
      </c>
      <c r="AC67" s="5">
        <v>7232.69</v>
      </c>
      <c r="AD67" s="5">
        <v>3646.08</v>
      </c>
      <c r="AE67" s="27">
        <v>10878.77</v>
      </c>
      <c r="AF67" s="27">
        <v>11126.66</v>
      </c>
      <c r="AG67" s="36">
        <v>-247.89</v>
      </c>
    </row>
    <row r="68" spans="1:33" ht="31.5" hidden="1">
      <c r="A68" s="28">
        <f t="shared" si="3"/>
        <v>66</v>
      </c>
      <c r="B68" s="43" t="s">
        <v>66</v>
      </c>
      <c r="C68" s="23" t="s">
        <v>134</v>
      </c>
      <c r="D68" s="37"/>
      <c r="E68" s="44">
        <f t="shared" si="1"/>
        <v>-275857.89</v>
      </c>
      <c r="F68" s="8"/>
      <c r="G68" s="38">
        <f t="shared" si="4"/>
        <v>66</v>
      </c>
      <c r="H68" s="43" t="s">
        <v>66</v>
      </c>
      <c r="I68" s="23" t="s">
        <v>134</v>
      </c>
      <c r="J68" s="39"/>
      <c r="K68" s="33">
        <f t="shared" si="2"/>
        <v>-274794.52</v>
      </c>
      <c r="L68" s="33"/>
      <c r="M68" s="8"/>
      <c r="N68" s="14" t="s">
        <v>3</v>
      </c>
      <c r="O68" s="15" t="s">
        <v>119</v>
      </c>
      <c r="P68" s="1">
        <v>-453.95</v>
      </c>
      <c r="R68" s="10">
        <v>66</v>
      </c>
      <c r="S68" s="35" t="s">
        <v>64</v>
      </c>
      <c r="T68" s="5">
        <v>10458.290000000001</v>
      </c>
      <c r="U68" s="5">
        <v>16056.92</v>
      </c>
      <c r="V68" s="27">
        <v>26515.21</v>
      </c>
      <c r="W68" s="27">
        <v>13321.33</v>
      </c>
      <c r="X68" s="5">
        <v>13193.88</v>
      </c>
      <c r="Y68" t="s">
        <v>121</v>
      </c>
    </row>
    <row r="69" spans="1:33" ht="31.5" hidden="1">
      <c r="A69" s="28">
        <f t="shared" si="3"/>
        <v>67</v>
      </c>
      <c r="B69" s="25" t="s">
        <v>67</v>
      </c>
      <c r="C69" s="26" t="s">
        <v>135</v>
      </c>
      <c r="D69" s="37">
        <v>-1254.79</v>
      </c>
      <c r="E69" s="30">
        <f t="shared" ref="E69:E100" si="5">E68+D69</f>
        <v>-277112.68</v>
      </c>
      <c r="F69" s="8"/>
      <c r="G69" s="38">
        <f t="shared" si="4"/>
        <v>67</v>
      </c>
      <c r="H69" s="25" t="s">
        <v>67</v>
      </c>
      <c r="I69" s="26" t="s">
        <v>135</v>
      </c>
      <c r="J69" s="39">
        <v>-1323.21</v>
      </c>
      <c r="K69" s="33">
        <f t="shared" ref="K69:K100" si="6">K68+J69</f>
        <v>-276117.73</v>
      </c>
      <c r="L69" s="33">
        <f t="shared" ref="L69:L101" si="7">J69-D69</f>
        <v>-68.420000000000101</v>
      </c>
      <c r="M69" s="8"/>
      <c r="N69" s="14" t="s">
        <v>4</v>
      </c>
      <c r="O69" s="15" t="s">
        <v>119</v>
      </c>
      <c r="P69" s="1">
        <v>-11583.76</v>
      </c>
      <c r="R69" s="10">
        <v>67</v>
      </c>
      <c r="S69" s="35" t="s">
        <v>16</v>
      </c>
      <c r="T69" s="5">
        <v>1262.55</v>
      </c>
      <c r="U69" s="6">
        <v>441.01</v>
      </c>
      <c r="V69" s="27">
        <v>1703.56</v>
      </c>
      <c r="W69" s="27">
        <v>1489.62</v>
      </c>
      <c r="X69" s="6">
        <v>213.94</v>
      </c>
      <c r="Y69" t="s">
        <v>121</v>
      </c>
      <c r="AA69" s="25" t="s">
        <v>67</v>
      </c>
      <c r="AB69" s="26" t="s">
        <v>135</v>
      </c>
      <c r="AC69" s="5">
        <v>1918.11</v>
      </c>
      <c r="AD69" s="6">
        <v>204</v>
      </c>
      <c r="AE69" s="27">
        <v>2122.11</v>
      </c>
      <c r="AF69" s="27">
        <v>2274.3000000000002</v>
      </c>
      <c r="AG69" s="36">
        <v>-152.19</v>
      </c>
    </row>
    <row r="70" spans="1:33" ht="15.75" hidden="1">
      <c r="A70" s="28">
        <f t="shared" si="3"/>
        <v>68</v>
      </c>
      <c r="B70" s="14" t="s">
        <v>68</v>
      </c>
      <c r="C70" s="15" t="s">
        <v>135</v>
      </c>
      <c r="D70" s="37">
        <v>-2688.16</v>
      </c>
      <c r="E70" s="33">
        <f t="shared" si="5"/>
        <v>-279800.84000000003</v>
      </c>
      <c r="F70" s="8"/>
      <c r="G70" s="38">
        <f t="shared" si="4"/>
        <v>68</v>
      </c>
      <c r="H70" s="14" t="s">
        <v>68</v>
      </c>
      <c r="I70" s="15" t="s">
        <v>135</v>
      </c>
      <c r="J70" s="39">
        <v>-2645.96</v>
      </c>
      <c r="K70" s="33">
        <f t="shared" si="6"/>
        <v>-278763.69</v>
      </c>
      <c r="L70" s="33">
        <f t="shared" si="7"/>
        <v>42.199999999999797</v>
      </c>
      <c r="M70" s="8"/>
      <c r="N70" s="14" t="s">
        <v>5</v>
      </c>
      <c r="O70" s="15" t="s">
        <v>119</v>
      </c>
      <c r="P70" s="1"/>
      <c r="R70" s="10">
        <v>68</v>
      </c>
      <c r="S70" s="35" t="s">
        <v>49</v>
      </c>
      <c r="T70" s="5">
        <v>5440.44</v>
      </c>
      <c r="U70" s="5">
        <v>7242.73</v>
      </c>
      <c r="V70" s="27">
        <v>12683.17</v>
      </c>
      <c r="W70" s="27">
        <v>8751.35</v>
      </c>
      <c r="X70" s="5">
        <v>3931.82</v>
      </c>
      <c r="Y70" t="s">
        <v>121</v>
      </c>
      <c r="AA70" s="14" t="s">
        <v>68</v>
      </c>
      <c r="AB70" s="15" t="s">
        <v>135</v>
      </c>
      <c r="AC70" s="5">
        <v>3483.5</v>
      </c>
      <c r="AD70" s="6">
        <v>444.74</v>
      </c>
      <c r="AE70" s="27">
        <v>3928.24</v>
      </c>
      <c r="AF70" s="27">
        <v>3468.3</v>
      </c>
      <c r="AG70" s="6">
        <v>459.94</v>
      </c>
    </row>
    <row r="71" spans="1:33" ht="15.75" hidden="1">
      <c r="A71" s="28">
        <f t="shared" si="3"/>
        <v>69</v>
      </c>
      <c r="B71" s="43" t="s">
        <v>69</v>
      </c>
      <c r="C71" s="23" t="s">
        <v>135</v>
      </c>
      <c r="D71" s="37">
        <v>-3595.06</v>
      </c>
      <c r="E71" s="44">
        <f t="shared" si="5"/>
        <v>-283395.90000000002</v>
      </c>
      <c r="F71" s="8"/>
      <c r="G71" s="38">
        <f t="shared" si="4"/>
        <v>69</v>
      </c>
      <c r="H71" s="43" t="s">
        <v>69</v>
      </c>
      <c r="I71" s="23" t="s">
        <v>135</v>
      </c>
      <c r="J71" s="39">
        <v>-3712.06</v>
      </c>
      <c r="K71" s="33">
        <f t="shared" si="6"/>
        <v>-282475.75</v>
      </c>
      <c r="L71" s="33">
        <f t="shared" si="7"/>
        <v>-117</v>
      </c>
      <c r="M71" s="8"/>
      <c r="N71" s="14" t="s">
        <v>6</v>
      </c>
      <c r="O71" s="15" t="s">
        <v>119</v>
      </c>
      <c r="P71" s="1">
        <v>-2967.06</v>
      </c>
      <c r="R71" s="10">
        <v>69</v>
      </c>
      <c r="S71" s="35" t="s">
        <v>34</v>
      </c>
      <c r="T71" s="5">
        <v>3696.21</v>
      </c>
      <c r="U71" s="5">
        <v>4178.42</v>
      </c>
      <c r="V71" s="27">
        <v>7874.63</v>
      </c>
      <c r="W71" s="27">
        <v>8716.4500000000007</v>
      </c>
      <c r="X71" s="36">
        <v>-841.82</v>
      </c>
      <c r="Y71" t="s">
        <v>121</v>
      </c>
      <c r="AA71" s="43" t="s">
        <v>69</v>
      </c>
      <c r="AB71" s="23" t="s">
        <v>135</v>
      </c>
      <c r="AC71" s="5">
        <v>5280.25</v>
      </c>
      <c r="AD71" s="5">
        <v>2850.38</v>
      </c>
      <c r="AE71" s="27">
        <v>8130.63</v>
      </c>
      <c r="AF71" s="27">
        <v>9066.52</v>
      </c>
      <c r="AG71" s="36">
        <v>-935.89</v>
      </c>
    </row>
    <row r="72" spans="1:33" ht="15.75" hidden="1">
      <c r="A72" s="28">
        <f t="shared" si="3"/>
        <v>70</v>
      </c>
      <c r="B72" s="25" t="s">
        <v>136</v>
      </c>
      <c r="C72" s="26" t="s">
        <v>137</v>
      </c>
      <c r="D72" s="37">
        <v>-3747.36</v>
      </c>
      <c r="E72" s="30">
        <f t="shared" si="5"/>
        <v>-287143.26</v>
      </c>
      <c r="F72" s="8"/>
      <c r="G72" s="38">
        <f t="shared" si="4"/>
        <v>70</v>
      </c>
      <c r="H72" s="25" t="s">
        <v>136</v>
      </c>
      <c r="I72" s="26" t="s">
        <v>137</v>
      </c>
      <c r="J72" s="39">
        <v>-3620.96</v>
      </c>
      <c r="K72" s="33">
        <f t="shared" si="6"/>
        <v>-286096.71000000002</v>
      </c>
      <c r="L72" s="33">
        <f t="shared" si="7"/>
        <v>126.4</v>
      </c>
      <c r="M72" s="8"/>
      <c r="N72" s="14" t="s">
        <v>7</v>
      </c>
      <c r="O72" s="15" t="s">
        <v>119</v>
      </c>
      <c r="P72" s="1">
        <v>-258.10000000000002</v>
      </c>
      <c r="R72" s="10">
        <v>70</v>
      </c>
      <c r="S72" s="35" t="s">
        <v>1</v>
      </c>
      <c r="T72" s="5">
        <v>2069.4499999999998</v>
      </c>
      <c r="U72" s="5">
        <v>1986.43</v>
      </c>
      <c r="V72" s="27">
        <v>4055.88</v>
      </c>
      <c r="W72" s="27">
        <v>3987.57</v>
      </c>
      <c r="X72" s="6">
        <v>68.31</v>
      </c>
      <c r="Y72" t="s">
        <v>121</v>
      </c>
      <c r="AA72" s="25" t="s">
        <v>136</v>
      </c>
      <c r="AB72" s="26" t="s">
        <v>137</v>
      </c>
      <c r="AC72" s="5">
        <v>1542.17</v>
      </c>
      <c r="AD72" s="5">
        <v>1965.24</v>
      </c>
      <c r="AE72" s="27">
        <v>3507.41</v>
      </c>
      <c r="AF72" s="27">
        <v>3447.9</v>
      </c>
      <c r="AG72" s="6">
        <v>59.51</v>
      </c>
    </row>
    <row r="73" spans="1:33" ht="15.75" hidden="1">
      <c r="A73" s="28">
        <f t="shared" si="3"/>
        <v>71</v>
      </c>
      <c r="B73" s="14" t="s">
        <v>71</v>
      </c>
      <c r="C73" s="15" t="s">
        <v>137</v>
      </c>
      <c r="D73" s="37"/>
      <c r="E73" s="33">
        <f t="shared" si="5"/>
        <v>-287143.26</v>
      </c>
      <c r="F73" s="8"/>
      <c r="G73" s="38">
        <f t="shared" si="4"/>
        <v>71</v>
      </c>
      <c r="H73" s="14" t="s">
        <v>71</v>
      </c>
      <c r="I73" s="15" t="s">
        <v>137</v>
      </c>
      <c r="J73" s="39"/>
      <c r="K73" s="33">
        <f t="shared" si="6"/>
        <v>-286096.71000000002</v>
      </c>
      <c r="L73" s="33"/>
      <c r="M73" s="8"/>
      <c r="N73" s="14" t="s">
        <v>8</v>
      </c>
      <c r="O73" s="15" t="s">
        <v>119</v>
      </c>
      <c r="P73" s="1">
        <v>843.1</v>
      </c>
      <c r="R73" s="10">
        <v>71</v>
      </c>
      <c r="S73" s="35" t="s">
        <v>13</v>
      </c>
      <c r="T73" s="5">
        <v>1985.14</v>
      </c>
      <c r="U73" s="5">
        <v>1011.22</v>
      </c>
      <c r="V73" s="27">
        <v>2996.36</v>
      </c>
      <c r="W73" s="27">
        <v>2773.28</v>
      </c>
      <c r="X73" s="6">
        <v>223.08</v>
      </c>
      <c r="Y73" t="s">
        <v>121</v>
      </c>
      <c r="AA73" s="14" t="s">
        <v>71</v>
      </c>
      <c r="AB73" s="15" t="s">
        <v>137</v>
      </c>
      <c r="AC73" s="5">
        <v>3015.33</v>
      </c>
      <c r="AD73" s="5">
        <v>4209.84</v>
      </c>
      <c r="AE73" s="27">
        <v>7225.17</v>
      </c>
      <c r="AF73" s="27">
        <v>7390</v>
      </c>
      <c r="AG73" s="36">
        <v>-164.83</v>
      </c>
    </row>
    <row r="74" spans="1:33" ht="31.5" hidden="1">
      <c r="A74" s="28">
        <f t="shared" si="3"/>
        <v>72</v>
      </c>
      <c r="B74" s="14" t="s">
        <v>72</v>
      </c>
      <c r="C74" s="15" t="s">
        <v>137</v>
      </c>
      <c r="D74" s="37"/>
      <c r="E74" s="33">
        <f t="shared" si="5"/>
        <v>-287143.26</v>
      </c>
      <c r="F74" s="8"/>
      <c r="G74" s="38">
        <f t="shared" si="4"/>
        <v>72</v>
      </c>
      <c r="H74" s="14" t="s">
        <v>72</v>
      </c>
      <c r="I74" s="15" t="s">
        <v>137</v>
      </c>
      <c r="J74" s="39"/>
      <c r="K74" s="33">
        <f t="shared" si="6"/>
        <v>-286096.71000000002</v>
      </c>
      <c r="L74" s="33"/>
      <c r="M74" s="8"/>
      <c r="N74" s="14" t="s">
        <v>9</v>
      </c>
      <c r="O74" s="15" t="s">
        <v>119</v>
      </c>
      <c r="P74" s="1">
        <v>-3302.2</v>
      </c>
      <c r="R74" s="10">
        <v>72</v>
      </c>
      <c r="S74" s="35" t="s">
        <v>68</v>
      </c>
      <c r="T74" s="5">
        <v>3483.5</v>
      </c>
      <c r="U74" s="6">
        <v>444.74</v>
      </c>
      <c r="V74" s="27">
        <v>3928.24</v>
      </c>
      <c r="W74" s="27">
        <v>3468.3</v>
      </c>
      <c r="X74" s="6">
        <v>459.94</v>
      </c>
      <c r="Y74" t="s">
        <v>121</v>
      </c>
      <c r="AA74" s="14" t="s">
        <v>72</v>
      </c>
      <c r="AB74" s="15" t="s">
        <v>137</v>
      </c>
      <c r="AC74" s="5">
        <v>3617.43</v>
      </c>
      <c r="AD74" s="5">
        <v>6263.53</v>
      </c>
      <c r="AE74" s="27">
        <v>9880.9599999999991</v>
      </c>
      <c r="AF74" s="27">
        <v>9929.81</v>
      </c>
      <c r="AG74" s="36">
        <v>-48.85</v>
      </c>
    </row>
    <row r="75" spans="1:33" ht="15.75" hidden="1">
      <c r="A75" s="28">
        <f t="shared" si="3"/>
        <v>73</v>
      </c>
      <c r="B75" s="14" t="s">
        <v>138</v>
      </c>
      <c r="C75" s="15" t="s">
        <v>137</v>
      </c>
      <c r="D75" s="37"/>
      <c r="E75" s="33">
        <f t="shared" si="5"/>
        <v>-287143.26</v>
      </c>
      <c r="F75" s="8"/>
      <c r="G75" s="38">
        <f t="shared" si="4"/>
        <v>73</v>
      </c>
      <c r="H75" s="14" t="s">
        <v>138</v>
      </c>
      <c r="I75" s="15" t="s">
        <v>137</v>
      </c>
      <c r="J75" s="39"/>
      <c r="K75" s="33">
        <f t="shared" si="6"/>
        <v>-286096.71000000002</v>
      </c>
      <c r="L75" s="33"/>
      <c r="M75" s="8"/>
      <c r="N75" s="14" t="s">
        <v>10</v>
      </c>
      <c r="O75" s="15" t="s">
        <v>119</v>
      </c>
      <c r="P75" s="1">
        <v>-619.5</v>
      </c>
      <c r="R75" s="10">
        <v>73</v>
      </c>
      <c r="S75" s="35" t="s">
        <v>40</v>
      </c>
      <c r="T75" s="6">
        <v>348.45</v>
      </c>
      <c r="U75" s="6">
        <v>272.70999999999998</v>
      </c>
      <c r="V75" s="42">
        <v>621.16</v>
      </c>
      <c r="W75" s="42">
        <v>639.53</v>
      </c>
      <c r="X75" s="36">
        <v>-18.37</v>
      </c>
      <c r="Y75" t="s">
        <v>121</v>
      </c>
      <c r="AA75" s="14"/>
      <c r="AB75" s="15"/>
    </row>
    <row r="76" spans="1:33" ht="15.75" hidden="1">
      <c r="A76" s="28">
        <f t="shared" si="3"/>
        <v>74</v>
      </c>
      <c r="B76" s="14" t="s">
        <v>74</v>
      </c>
      <c r="C76" s="15" t="s">
        <v>137</v>
      </c>
      <c r="D76" s="37">
        <v>-4020.8</v>
      </c>
      <c r="E76" s="33">
        <f t="shared" si="5"/>
        <v>-291164.06</v>
      </c>
      <c r="F76" s="8"/>
      <c r="G76" s="38">
        <f t="shared" si="4"/>
        <v>74</v>
      </c>
      <c r="H76" s="14" t="s">
        <v>74</v>
      </c>
      <c r="I76" s="15" t="s">
        <v>137</v>
      </c>
      <c r="J76" s="39">
        <v>-4452.1000000000004</v>
      </c>
      <c r="K76" s="33">
        <f t="shared" si="6"/>
        <v>-290548.81</v>
      </c>
      <c r="L76" s="33">
        <f t="shared" si="7"/>
        <v>-431.3</v>
      </c>
      <c r="M76" s="8"/>
      <c r="N76" s="43" t="s">
        <v>11</v>
      </c>
      <c r="O76" s="23" t="s">
        <v>119</v>
      </c>
      <c r="P76" s="1">
        <v>282.98</v>
      </c>
      <c r="R76" s="10">
        <v>74</v>
      </c>
      <c r="S76" s="35" t="s">
        <v>6</v>
      </c>
      <c r="T76" s="5">
        <v>4749.7299999999996</v>
      </c>
      <c r="U76" s="5">
        <v>6354.26</v>
      </c>
      <c r="V76" s="27">
        <v>11103.99</v>
      </c>
      <c r="W76" s="27">
        <v>11999.03</v>
      </c>
      <c r="X76" s="36">
        <v>-895.04</v>
      </c>
      <c r="Y76" t="s">
        <v>121</v>
      </c>
      <c r="AA76" s="14" t="s">
        <v>74</v>
      </c>
      <c r="AB76" s="15" t="s">
        <v>137</v>
      </c>
      <c r="AC76" s="5">
        <v>2681.35</v>
      </c>
      <c r="AD76" s="5">
        <v>1989.19</v>
      </c>
      <c r="AE76" s="27">
        <v>4670.54</v>
      </c>
      <c r="AF76" s="27">
        <v>4641.72</v>
      </c>
      <c r="AG76" s="6">
        <v>28.82</v>
      </c>
    </row>
    <row r="77" spans="1:33" ht="15.75" hidden="1">
      <c r="A77" s="28">
        <f t="shared" si="3"/>
        <v>75</v>
      </c>
      <c r="B77" s="14" t="s">
        <v>75</v>
      </c>
      <c r="C77" s="15" t="s">
        <v>137</v>
      </c>
      <c r="D77" s="37">
        <v>-15322.29</v>
      </c>
      <c r="E77" s="33">
        <f t="shared" si="5"/>
        <v>-306486.34999999998</v>
      </c>
      <c r="F77" s="8"/>
      <c r="G77" s="38">
        <f t="shared" si="4"/>
        <v>75</v>
      </c>
      <c r="H77" s="14" t="s">
        <v>75</v>
      </c>
      <c r="I77" s="15" t="s">
        <v>137</v>
      </c>
      <c r="J77" s="39">
        <v>-16948.990000000002</v>
      </c>
      <c r="K77" s="33">
        <f t="shared" si="6"/>
        <v>-307497.8</v>
      </c>
      <c r="L77" s="33">
        <f t="shared" si="7"/>
        <v>-1626.7</v>
      </c>
      <c r="M77" s="8"/>
      <c r="N77" s="25" t="s">
        <v>12</v>
      </c>
      <c r="O77" s="26" t="s">
        <v>123</v>
      </c>
      <c r="P77" s="1">
        <v>-24373.599999999999</v>
      </c>
      <c r="R77" s="10">
        <v>75</v>
      </c>
      <c r="S77" s="35" t="s">
        <v>33</v>
      </c>
      <c r="T77" s="5">
        <v>2347.0100000000002</v>
      </c>
      <c r="U77" s="5">
        <v>2410.91</v>
      </c>
      <c r="V77" s="27">
        <v>4757.92</v>
      </c>
      <c r="W77" s="27">
        <v>3644.72</v>
      </c>
      <c r="X77" s="5">
        <v>1113.2</v>
      </c>
      <c r="Y77" t="s">
        <v>121</v>
      </c>
      <c r="AA77" s="14" t="s">
        <v>75</v>
      </c>
      <c r="AB77" s="15" t="s">
        <v>137</v>
      </c>
      <c r="AC77" s="5">
        <v>2587.8200000000002</v>
      </c>
      <c r="AD77" s="6">
        <v>870.31</v>
      </c>
      <c r="AE77" s="27">
        <v>3458.13</v>
      </c>
      <c r="AF77" s="27">
        <v>3472.06</v>
      </c>
      <c r="AG77" s="36">
        <v>-13.93</v>
      </c>
    </row>
    <row r="78" spans="1:33" ht="31.5" hidden="1">
      <c r="A78" s="28">
        <f t="shared" si="3"/>
        <v>76</v>
      </c>
      <c r="B78" s="43" t="s">
        <v>76</v>
      </c>
      <c r="C78" s="23" t="s">
        <v>137</v>
      </c>
      <c r="D78" s="37">
        <v>-50166.54</v>
      </c>
      <c r="E78" s="44">
        <f t="shared" si="5"/>
        <v>-356652.89</v>
      </c>
      <c r="F78" s="8"/>
      <c r="G78" s="38">
        <f t="shared" si="4"/>
        <v>76</v>
      </c>
      <c r="H78" s="43" t="s">
        <v>76</v>
      </c>
      <c r="I78" s="23" t="s">
        <v>137</v>
      </c>
      <c r="J78" s="39">
        <v>-48550.64</v>
      </c>
      <c r="K78" s="33">
        <f t="shared" si="6"/>
        <v>-356048.44</v>
      </c>
      <c r="L78" s="33">
        <f t="shared" si="7"/>
        <v>1615.9</v>
      </c>
      <c r="M78" s="8"/>
      <c r="N78" s="14" t="s">
        <v>13</v>
      </c>
      <c r="O78" s="15" t="s">
        <v>123</v>
      </c>
      <c r="P78" s="1">
        <v>-5634.9</v>
      </c>
      <c r="R78" s="10">
        <v>76</v>
      </c>
      <c r="S78" s="35" t="s">
        <v>75</v>
      </c>
      <c r="T78" s="5">
        <v>2587.8200000000002</v>
      </c>
      <c r="U78" s="6">
        <v>870.31</v>
      </c>
      <c r="V78" s="27">
        <v>3458.13</v>
      </c>
      <c r="W78" s="27">
        <v>3472.06</v>
      </c>
      <c r="X78" s="36">
        <v>-13.93</v>
      </c>
      <c r="Y78" t="s">
        <v>121</v>
      </c>
      <c r="AA78" s="43" t="s">
        <v>76</v>
      </c>
      <c r="AB78" s="23" t="s">
        <v>137</v>
      </c>
      <c r="AC78" s="5">
        <v>1603.43</v>
      </c>
      <c r="AD78" s="5">
        <v>1506.31</v>
      </c>
      <c r="AE78" s="27">
        <v>3109.74</v>
      </c>
      <c r="AF78" s="27">
        <v>2813.79</v>
      </c>
      <c r="AG78" s="6">
        <v>295.95</v>
      </c>
    </row>
    <row r="79" spans="1:33" ht="31.5" hidden="1">
      <c r="A79" s="28">
        <f t="shared" si="3"/>
        <v>77</v>
      </c>
      <c r="B79" s="25" t="s">
        <v>77</v>
      </c>
      <c r="C79" s="26" t="s">
        <v>139</v>
      </c>
      <c r="D79" s="37"/>
      <c r="E79" s="30">
        <f t="shared" si="5"/>
        <v>-356652.89</v>
      </c>
      <c r="F79" s="8"/>
      <c r="G79" s="38">
        <f t="shared" si="4"/>
        <v>77</v>
      </c>
      <c r="H79" s="25" t="s">
        <v>77</v>
      </c>
      <c r="I79" s="26" t="s">
        <v>139</v>
      </c>
      <c r="J79" s="39"/>
      <c r="K79" s="33">
        <f t="shared" si="6"/>
        <v>-356048.44</v>
      </c>
      <c r="L79" s="33"/>
      <c r="M79" s="8"/>
      <c r="N79" s="14" t="s">
        <v>14</v>
      </c>
      <c r="O79" s="15" t="s">
        <v>123</v>
      </c>
      <c r="P79" s="1">
        <v>-1933.1</v>
      </c>
      <c r="R79" s="10">
        <v>77</v>
      </c>
      <c r="S79" s="35" t="s">
        <v>74</v>
      </c>
      <c r="T79" s="5">
        <v>2681.35</v>
      </c>
      <c r="U79" s="5">
        <v>1989.19</v>
      </c>
      <c r="V79" s="27">
        <v>4670.54</v>
      </c>
      <c r="W79" s="27">
        <v>4641.72</v>
      </c>
      <c r="X79" s="6">
        <v>28.82</v>
      </c>
      <c r="Y79" t="s">
        <v>121</v>
      </c>
      <c r="AA79" s="25" t="s">
        <v>77</v>
      </c>
      <c r="AB79" s="26" t="s">
        <v>139</v>
      </c>
      <c r="AC79" s="5">
        <v>11375.14</v>
      </c>
      <c r="AD79" s="5">
        <v>3479.8</v>
      </c>
      <c r="AE79" s="27">
        <v>14854.94</v>
      </c>
      <c r="AF79" s="27">
        <v>14937.63</v>
      </c>
      <c r="AG79" s="36">
        <v>-82.69</v>
      </c>
    </row>
    <row r="80" spans="1:33" ht="31.5" hidden="1">
      <c r="A80" s="28">
        <f t="shared" si="3"/>
        <v>78</v>
      </c>
      <c r="B80" s="14" t="s">
        <v>78</v>
      </c>
      <c r="C80" s="15" t="s">
        <v>139</v>
      </c>
      <c r="D80" s="37"/>
      <c r="E80" s="33">
        <f t="shared" si="5"/>
        <v>-356652.89</v>
      </c>
      <c r="F80" s="8"/>
      <c r="G80" s="38">
        <f t="shared" si="4"/>
        <v>78</v>
      </c>
      <c r="H80" s="14" t="s">
        <v>78</v>
      </c>
      <c r="I80" s="15" t="s">
        <v>139</v>
      </c>
      <c r="J80" s="39"/>
      <c r="K80" s="33">
        <f t="shared" si="6"/>
        <v>-356048.44</v>
      </c>
      <c r="L80" s="33"/>
      <c r="M80" s="8"/>
      <c r="N80" s="14" t="s">
        <v>15</v>
      </c>
      <c r="O80" s="15" t="s">
        <v>123</v>
      </c>
      <c r="P80" s="1">
        <v>-39686.699999999997</v>
      </c>
      <c r="R80" s="10">
        <v>78</v>
      </c>
      <c r="S80" s="35" t="s">
        <v>2</v>
      </c>
      <c r="T80" s="5">
        <v>1493.83</v>
      </c>
      <c r="U80" s="6">
        <v>296.47000000000003</v>
      </c>
      <c r="V80" s="27">
        <v>1790.3</v>
      </c>
      <c r="W80" s="27">
        <v>1717.03</v>
      </c>
      <c r="X80" s="6">
        <v>73.27</v>
      </c>
      <c r="Y80" t="s">
        <v>121</v>
      </c>
      <c r="AA80" s="14" t="s">
        <v>78</v>
      </c>
      <c r="AB80" s="15" t="s">
        <v>139</v>
      </c>
      <c r="AC80" s="5">
        <v>4744.32</v>
      </c>
      <c r="AD80" s="5">
        <v>1263.19</v>
      </c>
      <c r="AE80" s="27">
        <v>6007.51</v>
      </c>
      <c r="AF80" s="27">
        <v>4943.75</v>
      </c>
      <c r="AG80" s="5">
        <v>1063.76</v>
      </c>
    </row>
    <row r="81" spans="1:33" ht="31.5" hidden="1">
      <c r="A81" s="28">
        <f t="shared" si="3"/>
        <v>79</v>
      </c>
      <c r="B81" s="14" t="s">
        <v>79</v>
      </c>
      <c r="C81" s="15" t="s">
        <v>139</v>
      </c>
      <c r="D81" s="37">
        <v>-2009.01</v>
      </c>
      <c r="E81" s="33">
        <f t="shared" si="5"/>
        <v>-358661.9</v>
      </c>
      <c r="F81" s="8"/>
      <c r="G81" s="38">
        <f t="shared" si="4"/>
        <v>79</v>
      </c>
      <c r="H81" s="14" t="s">
        <v>79</v>
      </c>
      <c r="I81" s="15" t="s">
        <v>139</v>
      </c>
      <c r="J81" s="39">
        <v>-1905.51</v>
      </c>
      <c r="K81" s="33">
        <f t="shared" si="6"/>
        <v>-357953.95</v>
      </c>
      <c r="L81" s="33">
        <f t="shared" si="7"/>
        <v>103.5</v>
      </c>
      <c r="M81" s="8"/>
      <c r="N81" s="14" t="s">
        <v>16</v>
      </c>
      <c r="O81" s="15" t="s">
        <v>123</v>
      </c>
      <c r="P81" s="1">
        <v>-5332.21</v>
      </c>
      <c r="R81" s="10">
        <v>79</v>
      </c>
      <c r="S81" s="35" t="s">
        <v>3</v>
      </c>
      <c r="T81" s="5">
        <v>1473.75</v>
      </c>
      <c r="U81" s="6">
        <v>260.77999999999997</v>
      </c>
      <c r="V81" s="27">
        <v>1734.53</v>
      </c>
      <c r="W81" s="27">
        <v>1934.83</v>
      </c>
      <c r="X81" s="36">
        <v>-200.3</v>
      </c>
      <c r="Y81" t="s">
        <v>121</v>
      </c>
      <c r="AA81" s="14" t="s">
        <v>79</v>
      </c>
      <c r="AB81" s="15" t="s">
        <v>139</v>
      </c>
      <c r="AC81" s="5">
        <v>10026.879999999999</v>
      </c>
      <c r="AD81" s="5">
        <v>2971.95</v>
      </c>
      <c r="AE81" s="27">
        <v>12998.83</v>
      </c>
      <c r="AF81" s="27">
        <v>12300.49</v>
      </c>
      <c r="AG81" s="6">
        <v>698.34</v>
      </c>
    </row>
    <row r="82" spans="1:33" ht="31.5" hidden="1">
      <c r="A82" s="28">
        <f t="shared" si="3"/>
        <v>80</v>
      </c>
      <c r="B82" s="14" t="s">
        <v>80</v>
      </c>
      <c r="C82" s="15" t="s">
        <v>139</v>
      </c>
      <c r="D82" s="37"/>
      <c r="E82" s="33">
        <f t="shared" si="5"/>
        <v>-358661.9</v>
      </c>
      <c r="F82" s="8"/>
      <c r="G82" s="38">
        <f t="shared" si="4"/>
        <v>80</v>
      </c>
      <c r="H82" s="14" t="s">
        <v>80</v>
      </c>
      <c r="I82" s="15" t="s">
        <v>139</v>
      </c>
      <c r="J82" s="39"/>
      <c r="K82" s="33">
        <f t="shared" si="6"/>
        <v>-357953.95</v>
      </c>
      <c r="L82" s="33"/>
      <c r="M82" s="8"/>
      <c r="N82" s="14" t="s">
        <v>17</v>
      </c>
      <c r="O82" s="15" t="s">
        <v>123</v>
      </c>
      <c r="P82" s="1"/>
      <c r="R82" s="10">
        <v>80</v>
      </c>
      <c r="S82" s="35" t="s">
        <v>59</v>
      </c>
      <c r="T82" s="5">
        <v>2960</v>
      </c>
      <c r="U82" s="5">
        <v>3109.75</v>
      </c>
      <c r="V82" s="27">
        <v>6069.75</v>
      </c>
      <c r="W82" s="27">
        <v>6200.13</v>
      </c>
      <c r="X82" s="36">
        <v>-130.38</v>
      </c>
      <c r="Y82" t="s">
        <v>121</v>
      </c>
      <c r="AA82" s="14" t="s">
        <v>80</v>
      </c>
      <c r="AB82" s="15" t="s">
        <v>139</v>
      </c>
      <c r="AC82" s="5">
        <v>3246.12</v>
      </c>
      <c r="AD82" s="5">
        <v>1427.03</v>
      </c>
      <c r="AE82" s="27">
        <v>4673.1499999999996</v>
      </c>
      <c r="AF82" s="27">
        <v>4492.12</v>
      </c>
      <c r="AG82" s="6">
        <v>181.03</v>
      </c>
    </row>
    <row r="83" spans="1:33" ht="15.75" hidden="1">
      <c r="A83" s="28">
        <f t="shared" si="3"/>
        <v>81</v>
      </c>
      <c r="B83" s="14" t="s">
        <v>81</v>
      </c>
      <c r="C83" s="15" t="s">
        <v>139</v>
      </c>
      <c r="D83" s="37">
        <v>-159.5</v>
      </c>
      <c r="E83" s="33">
        <f t="shared" si="5"/>
        <v>-358821.4</v>
      </c>
      <c r="F83" s="8"/>
      <c r="G83" s="38">
        <f t="shared" si="4"/>
        <v>81</v>
      </c>
      <c r="H83" s="14" t="s">
        <v>81</v>
      </c>
      <c r="I83" s="15" t="s">
        <v>139</v>
      </c>
      <c r="J83" s="39">
        <v>-454.2</v>
      </c>
      <c r="K83" s="33">
        <f t="shared" si="6"/>
        <v>-358408.15</v>
      </c>
      <c r="L83" s="33">
        <f t="shared" si="7"/>
        <v>-294.7</v>
      </c>
      <c r="M83" s="8"/>
      <c r="N83" s="45" t="s">
        <v>124</v>
      </c>
      <c r="O83" s="46" t="s">
        <v>123</v>
      </c>
      <c r="P83" s="1">
        <v>-29759.3</v>
      </c>
      <c r="R83" s="10">
        <v>81</v>
      </c>
      <c r="S83" s="35" t="s">
        <v>87</v>
      </c>
      <c r="T83" s="5">
        <v>2104.77</v>
      </c>
      <c r="U83" s="5">
        <v>1020.95</v>
      </c>
      <c r="V83" s="27">
        <v>3125.72</v>
      </c>
      <c r="W83" s="27">
        <v>3079.36</v>
      </c>
      <c r="X83" s="6">
        <v>46.36</v>
      </c>
      <c r="Y83" t="s">
        <v>121</v>
      </c>
      <c r="AA83" s="14" t="s">
        <v>81</v>
      </c>
      <c r="AB83" s="15" t="s">
        <v>139</v>
      </c>
      <c r="AC83" s="5">
        <v>2419.4899999999998</v>
      </c>
      <c r="AD83" s="5">
        <v>1482.24</v>
      </c>
      <c r="AE83" s="27">
        <v>3901.73</v>
      </c>
      <c r="AF83" s="27">
        <v>3664.18</v>
      </c>
      <c r="AG83" s="6">
        <v>237.55</v>
      </c>
    </row>
    <row r="84" spans="1:33" ht="15.75" hidden="1">
      <c r="A84" s="28">
        <f t="shared" si="3"/>
        <v>82</v>
      </c>
      <c r="B84" s="14" t="s">
        <v>82</v>
      </c>
      <c r="C84" s="15" t="s">
        <v>139</v>
      </c>
      <c r="D84" s="37"/>
      <c r="E84" s="33">
        <f t="shared" si="5"/>
        <v>-358821.4</v>
      </c>
      <c r="F84" s="8"/>
      <c r="G84" s="38">
        <f t="shared" si="4"/>
        <v>82</v>
      </c>
      <c r="H84" s="14" t="s">
        <v>82</v>
      </c>
      <c r="I84" s="15" t="s">
        <v>139</v>
      </c>
      <c r="J84" s="39">
        <v>-43.6</v>
      </c>
      <c r="K84" s="33">
        <f t="shared" si="6"/>
        <v>-358451.75</v>
      </c>
      <c r="L84" s="33">
        <f t="shared" si="7"/>
        <v>-43.6</v>
      </c>
      <c r="M84" s="8"/>
      <c r="N84" s="14" t="s">
        <v>19</v>
      </c>
      <c r="O84" s="15" t="s">
        <v>123</v>
      </c>
      <c r="P84" s="1">
        <v>-28214.09</v>
      </c>
      <c r="R84" s="10">
        <v>82</v>
      </c>
      <c r="S84" s="35" t="s">
        <v>8</v>
      </c>
      <c r="T84" s="5">
        <v>4952.7299999999996</v>
      </c>
      <c r="U84" s="5">
        <v>1460.02</v>
      </c>
      <c r="V84" s="27">
        <v>6412.75</v>
      </c>
      <c r="W84" s="27">
        <v>5338.19</v>
      </c>
      <c r="X84" s="5">
        <v>1074.56</v>
      </c>
      <c r="Y84" t="s">
        <v>121</v>
      </c>
      <c r="AA84" s="14" t="s">
        <v>82</v>
      </c>
      <c r="AB84" s="15" t="s">
        <v>139</v>
      </c>
      <c r="AC84" s="5">
        <v>1256.17</v>
      </c>
      <c r="AD84" s="6">
        <v>401</v>
      </c>
      <c r="AE84" s="27">
        <v>1657.17</v>
      </c>
      <c r="AF84" s="27">
        <v>2057.67</v>
      </c>
      <c r="AG84" s="36">
        <v>-400.5</v>
      </c>
    </row>
    <row r="85" spans="1:33" ht="31.5" hidden="1">
      <c r="A85" s="28">
        <f t="shared" si="3"/>
        <v>83</v>
      </c>
      <c r="B85" s="14" t="s">
        <v>83</v>
      </c>
      <c r="C85" s="15" t="s">
        <v>139</v>
      </c>
      <c r="D85" s="37">
        <v>-2078.13</v>
      </c>
      <c r="E85" s="33">
        <f t="shared" si="5"/>
        <v>-360899.53</v>
      </c>
      <c r="F85" s="8"/>
      <c r="G85" s="38">
        <f t="shared" si="4"/>
        <v>83</v>
      </c>
      <c r="H85" s="14" t="s">
        <v>83</v>
      </c>
      <c r="I85" s="15" t="s">
        <v>139</v>
      </c>
      <c r="J85" s="39">
        <v>-2205.73</v>
      </c>
      <c r="K85" s="33">
        <f t="shared" si="6"/>
        <v>-360657.48</v>
      </c>
      <c r="L85" s="33">
        <f t="shared" si="7"/>
        <v>-127.6</v>
      </c>
      <c r="M85" s="8"/>
      <c r="N85" s="14" t="s">
        <v>20</v>
      </c>
      <c r="O85" s="15" t="s">
        <v>123</v>
      </c>
      <c r="P85" s="1">
        <v>-6522.16</v>
      </c>
      <c r="R85" s="10">
        <v>83</v>
      </c>
      <c r="S85" s="35" t="s">
        <v>92</v>
      </c>
      <c r="T85" s="5">
        <v>4416.88</v>
      </c>
      <c r="U85" s="5">
        <v>2131.08</v>
      </c>
      <c r="V85" s="27">
        <v>6547.96</v>
      </c>
      <c r="W85" s="27">
        <v>6127.48</v>
      </c>
      <c r="X85" s="6">
        <v>420.48</v>
      </c>
      <c r="Y85" t="s">
        <v>121</v>
      </c>
      <c r="AA85" s="14" t="s">
        <v>83</v>
      </c>
      <c r="AB85" s="15" t="s">
        <v>139</v>
      </c>
      <c r="AC85" s="5">
        <v>3729.94</v>
      </c>
      <c r="AD85" s="5">
        <v>1884.73</v>
      </c>
      <c r="AE85" s="27">
        <v>5614.67</v>
      </c>
      <c r="AF85" s="27">
        <v>5248.77</v>
      </c>
      <c r="AG85" s="6">
        <v>365.9</v>
      </c>
    </row>
    <row r="86" spans="1:33" ht="31.5" hidden="1">
      <c r="A86" s="28">
        <f t="shared" si="3"/>
        <v>84</v>
      </c>
      <c r="B86" s="14" t="s">
        <v>84</v>
      </c>
      <c r="C86" s="15" t="s">
        <v>139</v>
      </c>
      <c r="D86" s="37"/>
      <c r="E86" s="33">
        <f t="shared" si="5"/>
        <v>-360899.53</v>
      </c>
      <c r="F86" s="8"/>
      <c r="G86" s="38">
        <f t="shared" si="4"/>
        <v>84</v>
      </c>
      <c r="H86" s="14" t="s">
        <v>84</v>
      </c>
      <c r="I86" s="15" t="s">
        <v>139</v>
      </c>
      <c r="J86" s="39"/>
      <c r="K86" s="33">
        <f t="shared" si="6"/>
        <v>-360657.48</v>
      </c>
      <c r="L86" s="33"/>
      <c r="M86" s="8"/>
      <c r="N86" s="43" t="s">
        <v>21</v>
      </c>
      <c r="O86" s="23" t="s">
        <v>123</v>
      </c>
      <c r="P86" s="1" t="s">
        <v>140</v>
      </c>
      <c r="R86" s="10">
        <v>84</v>
      </c>
      <c r="S86" s="35" t="s">
        <v>23</v>
      </c>
      <c r="T86" s="6">
        <v>980.88</v>
      </c>
      <c r="U86" s="5">
        <v>5053.88</v>
      </c>
      <c r="V86" s="27">
        <v>6034.76</v>
      </c>
      <c r="W86" s="27">
        <v>4520.7299999999996</v>
      </c>
      <c r="X86" s="5">
        <v>1514.03</v>
      </c>
      <c r="Y86" t="s">
        <v>121</v>
      </c>
      <c r="AA86" s="14" t="s">
        <v>84</v>
      </c>
      <c r="AB86" s="15" t="s">
        <v>139</v>
      </c>
      <c r="AC86" s="5">
        <v>7804.13</v>
      </c>
      <c r="AD86" s="5">
        <v>19041.400000000001</v>
      </c>
      <c r="AE86" s="27">
        <v>26845.53</v>
      </c>
      <c r="AF86" s="27">
        <v>26729.35</v>
      </c>
      <c r="AG86" s="6">
        <v>116.18</v>
      </c>
    </row>
    <row r="87" spans="1:33" ht="31.5" hidden="1">
      <c r="A87" s="28">
        <f t="shared" si="3"/>
        <v>85</v>
      </c>
      <c r="B87" s="14" t="s">
        <v>85</v>
      </c>
      <c r="C87" s="15" t="s">
        <v>139</v>
      </c>
      <c r="D87" s="37">
        <v>-3279.21</v>
      </c>
      <c r="E87" s="33">
        <f t="shared" si="5"/>
        <v>-364178.74</v>
      </c>
      <c r="F87" s="8"/>
      <c r="G87" s="38">
        <f t="shared" si="4"/>
        <v>85</v>
      </c>
      <c r="H87" s="14" t="s">
        <v>85</v>
      </c>
      <c r="I87" s="15" t="s">
        <v>139</v>
      </c>
      <c r="J87" s="39">
        <v>-2775.4</v>
      </c>
      <c r="K87" s="33">
        <f t="shared" si="6"/>
        <v>-363432.88</v>
      </c>
      <c r="L87" s="33">
        <f t="shared" si="7"/>
        <v>503.81</v>
      </c>
      <c r="M87" s="8"/>
      <c r="N87" s="25" t="s">
        <v>22</v>
      </c>
      <c r="O87" s="26" t="s">
        <v>126</v>
      </c>
      <c r="P87" s="1">
        <v>3540.17</v>
      </c>
      <c r="R87" s="10">
        <v>85</v>
      </c>
      <c r="S87" s="35" t="s">
        <v>67</v>
      </c>
      <c r="T87" s="5">
        <v>1918.11</v>
      </c>
      <c r="U87" s="6">
        <v>204</v>
      </c>
      <c r="V87" s="27">
        <v>2122.11</v>
      </c>
      <c r="W87" s="27">
        <v>2274.3000000000002</v>
      </c>
      <c r="X87" s="36">
        <v>-152.19</v>
      </c>
      <c r="Y87" t="s">
        <v>121</v>
      </c>
      <c r="AA87" s="14" t="s">
        <v>85</v>
      </c>
      <c r="AB87" s="15" t="s">
        <v>139</v>
      </c>
      <c r="AC87" s="5">
        <v>6476.67</v>
      </c>
      <c r="AD87" s="5">
        <v>5326.57</v>
      </c>
      <c r="AE87" s="27">
        <v>11803.24</v>
      </c>
      <c r="AF87" s="27">
        <v>9246.7099999999991</v>
      </c>
      <c r="AG87" s="5">
        <v>2556.5300000000002</v>
      </c>
    </row>
    <row r="88" spans="1:33" ht="15.75" hidden="1">
      <c r="A88" s="28">
        <f t="shared" si="3"/>
        <v>86</v>
      </c>
      <c r="B88" s="14" t="s">
        <v>86</v>
      </c>
      <c r="C88" s="15" t="s">
        <v>139</v>
      </c>
      <c r="D88" s="37"/>
      <c r="E88" s="33">
        <f t="shared" si="5"/>
        <v>-364178.74</v>
      </c>
      <c r="F88" s="8"/>
      <c r="G88" s="38">
        <f t="shared" si="4"/>
        <v>86</v>
      </c>
      <c r="H88" s="14" t="s">
        <v>86</v>
      </c>
      <c r="I88" s="15" t="s">
        <v>139</v>
      </c>
      <c r="J88" s="39"/>
      <c r="K88" s="33">
        <f t="shared" si="6"/>
        <v>-363432.88</v>
      </c>
      <c r="L88" s="33"/>
      <c r="M88" s="8"/>
      <c r="N88" s="14" t="s">
        <v>23</v>
      </c>
      <c r="O88" s="15" t="s">
        <v>126</v>
      </c>
      <c r="P88" s="1">
        <v>-5434.45</v>
      </c>
      <c r="R88" s="10">
        <v>86</v>
      </c>
      <c r="S88" s="35" t="s">
        <v>44</v>
      </c>
      <c r="T88" s="5">
        <v>1895.64</v>
      </c>
      <c r="U88" s="5">
        <v>2228.2600000000002</v>
      </c>
      <c r="V88" s="27">
        <v>4123.8999999999996</v>
      </c>
      <c r="W88" s="27">
        <v>4440.6000000000004</v>
      </c>
      <c r="X88" s="36">
        <v>-316.7</v>
      </c>
      <c r="Y88" t="s">
        <v>121</v>
      </c>
      <c r="AA88" s="14" t="s">
        <v>86</v>
      </c>
      <c r="AB88" s="15" t="s">
        <v>139</v>
      </c>
      <c r="AC88" s="5">
        <v>5427.78</v>
      </c>
      <c r="AD88" s="6">
        <v>845.44</v>
      </c>
      <c r="AE88" s="27">
        <v>6273.22</v>
      </c>
      <c r="AF88" s="27">
        <v>6415.68</v>
      </c>
      <c r="AG88" s="36">
        <v>-142.46</v>
      </c>
    </row>
    <row r="89" spans="1:33" ht="15.75" hidden="1">
      <c r="A89" s="28">
        <f t="shared" si="3"/>
        <v>87</v>
      </c>
      <c r="B89" s="43" t="s">
        <v>87</v>
      </c>
      <c r="C89" s="23" t="s">
        <v>139</v>
      </c>
      <c r="D89" s="37">
        <v>-2077.2399999999998</v>
      </c>
      <c r="E89" s="44">
        <f t="shared" si="5"/>
        <v>-366255.98</v>
      </c>
      <c r="F89" s="8"/>
      <c r="G89" s="38">
        <f t="shared" si="4"/>
        <v>87</v>
      </c>
      <c r="H89" s="43" t="s">
        <v>87</v>
      </c>
      <c r="I89" s="23" t="s">
        <v>139</v>
      </c>
      <c r="J89" s="39">
        <v>-2190.44</v>
      </c>
      <c r="K89" s="33">
        <f t="shared" si="6"/>
        <v>-365623.32</v>
      </c>
      <c r="L89" s="33">
        <f t="shared" si="7"/>
        <v>-113.2</v>
      </c>
      <c r="M89" s="8"/>
      <c r="N89" s="14" t="s">
        <v>24</v>
      </c>
      <c r="O89" s="15" t="s">
        <v>126</v>
      </c>
      <c r="P89" s="1">
        <v>-457.45</v>
      </c>
      <c r="R89" s="10">
        <v>87</v>
      </c>
      <c r="S89" s="35" t="s">
        <v>98</v>
      </c>
      <c r="T89" s="5">
        <v>5727.95</v>
      </c>
      <c r="U89" s="5">
        <v>2023.23</v>
      </c>
      <c r="V89" s="27">
        <v>7751.18</v>
      </c>
      <c r="W89" s="27">
        <v>6495.03</v>
      </c>
      <c r="X89" s="5">
        <v>1256.1500000000001</v>
      </c>
      <c r="Y89" t="s">
        <v>121</v>
      </c>
      <c r="AA89" s="43" t="s">
        <v>87</v>
      </c>
      <c r="AB89" s="23" t="s">
        <v>139</v>
      </c>
      <c r="AC89" s="5">
        <v>2104.77</v>
      </c>
      <c r="AD89" s="5">
        <v>1020.95</v>
      </c>
      <c r="AE89" s="27">
        <v>3125.72</v>
      </c>
      <c r="AF89" s="27">
        <v>3079.36</v>
      </c>
      <c r="AG89" s="6">
        <v>46.36</v>
      </c>
    </row>
    <row r="90" spans="1:33" ht="15.75" hidden="1">
      <c r="A90" s="28">
        <f t="shared" si="3"/>
        <v>88</v>
      </c>
      <c r="B90" s="25" t="s">
        <v>88</v>
      </c>
      <c r="C90" s="26" t="s">
        <v>141</v>
      </c>
      <c r="D90" s="37">
        <v>-11729.6</v>
      </c>
      <c r="E90" s="30">
        <f t="shared" si="5"/>
        <v>-377985.58</v>
      </c>
      <c r="F90" s="8"/>
      <c r="G90" s="38">
        <f t="shared" si="4"/>
        <v>88</v>
      </c>
      <c r="H90" s="25" t="s">
        <v>88</v>
      </c>
      <c r="I90" s="26" t="s">
        <v>141</v>
      </c>
      <c r="J90" s="39">
        <v>-9319.6</v>
      </c>
      <c r="K90" s="33">
        <f t="shared" si="6"/>
        <v>-374942.92</v>
      </c>
      <c r="L90" s="33">
        <f t="shared" si="7"/>
        <v>2410</v>
      </c>
      <c r="M90" s="8"/>
      <c r="N90" s="14" t="s">
        <v>128</v>
      </c>
      <c r="O90" s="15" t="s">
        <v>126</v>
      </c>
      <c r="P90" s="1"/>
      <c r="R90" s="10">
        <v>88</v>
      </c>
      <c r="S90" s="35" t="s">
        <v>39</v>
      </c>
      <c r="T90" s="5">
        <v>28966.59</v>
      </c>
      <c r="U90" s="5">
        <v>26358.92</v>
      </c>
      <c r="V90" s="27">
        <v>55325.51</v>
      </c>
      <c r="W90" s="27">
        <v>49264.1</v>
      </c>
      <c r="X90" s="5">
        <v>6061.41</v>
      </c>
      <c r="Y90" t="s">
        <v>121</v>
      </c>
      <c r="AA90" s="25" t="s">
        <v>88</v>
      </c>
      <c r="AB90" s="26" t="s">
        <v>141</v>
      </c>
      <c r="AC90" s="5">
        <v>6772.59</v>
      </c>
      <c r="AD90" s="5">
        <v>2221.77</v>
      </c>
      <c r="AE90" s="27">
        <v>8994.36</v>
      </c>
      <c r="AF90" s="27">
        <v>9966.08</v>
      </c>
      <c r="AG90" s="36">
        <v>-971.72</v>
      </c>
    </row>
    <row r="91" spans="1:33" ht="31.5" hidden="1">
      <c r="A91" s="28">
        <f t="shared" si="3"/>
        <v>89</v>
      </c>
      <c r="B91" s="14" t="s">
        <v>89</v>
      </c>
      <c r="C91" s="15" t="s">
        <v>141</v>
      </c>
      <c r="D91" s="37">
        <v>-418.6</v>
      </c>
      <c r="E91" s="33">
        <f t="shared" si="5"/>
        <v>-378404.18</v>
      </c>
      <c r="F91" s="8"/>
      <c r="G91" s="38">
        <f t="shared" si="4"/>
        <v>89</v>
      </c>
      <c r="H91" s="14" t="s">
        <v>89</v>
      </c>
      <c r="I91" s="15" t="s">
        <v>141</v>
      </c>
      <c r="J91" s="39"/>
      <c r="K91" s="33">
        <f t="shared" si="6"/>
        <v>-374942.92</v>
      </c>
      <c r="L91" s="33">
        <f t="shared" si="7"/>
        <v>418.6</v>
      </c>
      <c r="M91" s="8"/>
      <c r="N91" s="47" t="s">
        <v>127</v>
      </c>
      <c r="O91" s="15" t="s">
        <v>126</v>
      </c>
      <c r="P91" s="1">
        <v>194.74</v>
      </c>
      <c r="R91" s="10">
        <v>89</v>
      </c>
      <c r="S91" s="35" t="s">
        <v>69</v>
      </c>
      <c r="T91" s="5">
        <v>5280.25</v>
      </c>
      <c r="U91" s="5">
        <v>2850.38</v>
      </c>
      <c r="V91" s="27">
        <v>8130.63</v>
      </c>
      <c r="W91" s="27">
        <v>9066.52</v>
      </c>
      <c r="X91" s="36">
        <v>-935.89</v>
      </c>
      <c r="Y91" t="s">
        <v>121</v>
      </c>
      <c r="AA91" s="14" t="s">
        <v>89</v>
      </c>
      <c r="AB91" s="15" t="s">
        <v>141</v>
      </c>
      <c r="AC91" s="5">
        <v>11021.29</v>
      </c>
      <c r="AD91" s="5">
        <v>3584.27</v>
      </c>
      <c r="AE91" s="27">
        <v>14605.56</v>
      </c>
      <c r="AF91" s="27">
        <v>14083.52</v>
      </c>
      <c r="AG91" s="6">
        <v>522.04</v>
      </c>
    </row>
    <row r="92" spans="1:33" ht="31.5" hidden="1">
      <c r="A92" s="28">
        <f t="shared" si="3"/>
        <v>90</v>
      </c>
      <c r="B92" s="14" t="s">
        <v>90</v>
      </c>
      <c r="C92" s="15" t="s">
        <v>141</v>
      </c>
      <c r="D92" s="37"/>
      <c r="E92" s="33">
        <f t="shared" si="5"/>
        <v>-378404.18</v>
      </c>
      <c r="F92" s="8"/>
      <c r="G92" s="38">
        <f t="shared" si="4"/>
        <v>90</v>
      </c>
      <c r="H92" s="14" t="s">
        <v>90</v>
      </c>
      <c r="I92" s="15" t="s">
        <v>141</v>
      </c>
      <c r="J92" s="39"/>
      <c r="K92" s="33">
        <f t="shared" si="6"/>
        <v>-374942.92</v>
      </c>
      <c r="L92" s="33"/>
      <c r="M92" s="8"/>
      <c r="N92" s="14" t="s">
        <v>27</v>
      </c>
      <c r="O92" s="15" t="s">
        <v>126</v>
      </c>
      <c r="P92" s="1">
        <v>-746.41</v>
      </c>
      <c r="R92" s="10">
        <v>90</v>
      </c>
      <c r="S92" s="35" t="s">
        <v>53</v>
      </c>
      <c r="T92" s="5">
        <v>6847</v>
      </c>
      <c r="U92" s="5">
        <v>2933.69</v>
      </c>
      <c r="V92" s="27">
        <v>9780.69</v>
      </c>
      <c r="W92" s="27">
        <v>9052.0499999999993</v>
      </c>
      <c r="X92" s="6">
        <v>728.64</v>
      </c>
      <c r="Y92" t="s">
        <v>121</v>
      </c>
      <c r="AA92" s="14" t="s">
        <v>90</v>
      </c>
      <c r="AB92" s="15" t="s">
        <v>106</v>
      </c>
      <c r="AC92" s="6">
        <v>955.25</v>
      </c>
      <c r="AD92" s="5">
        <v>1588.17</v>
      </c>
      <c r="AE92" s="27">
        <v>2543.42</v>
      </c>
      <c r="AF92" s="27">
        <v>2000.24</v>
      </c>
      <c r="AG92" s="6">
        <v>543.17999999999995</v>
      </c>
    </row>
    <row r="93" spans="1:33" ht="15.75" hidden="1">
      <c r="A93" s="28">
        <f t="shared" si="3"/>
        <v>91</v>
      </c>
      <c r="B93" s="14" t="s">
        <v>91</v>
      </c>
      <c r="C93" s="15" t="s">
        <v>141</v>
      </c>
      <c r="D93" s="37"/>
      <c r="E93" s="33">
        <f t="shared" si="5"/>
        <v>-378404.18</v>
      </c>
      <c r="F93" s="8"/>
      <c r="G93" s="38">
        <f t="shared" si="4"/>
        <v>91</v>
      </c>
      <c r="H93" s="14" t="s">
        <v>91</v>
      </c>
      <c r="I93" s="15" t="s">
        <v>141</v>
      </c>
      <c r="J93" s="39"/>
      <c r="K93" s="33">
        <f t="shared" si="6"/>
        <v>-374942.92</v>
      </c>
      <c r="L93" s="33"/>
      <c r="M93" s="8"/>
      <c r="N93" s="14" t="s">
        <v>28</v>
      </c>
      <c r="O93" s="15" t="s">
        <v>126</v>
      </c>
      <c r="P93" s="1">
        <v>-2629.64</v>
      </c>
      <c r="R93" s="10">
        <v>91</v>
      </c>
      <c r="S93" s="35" t="s">
        <v>60</v>
      </c>
      <c r="T93" s="5">
        <v>3325.11</v>
      </c>
      <c r="U93" s="5">
        <v>2739.86</v>
      </c>
      <c r="V93" s="27">
        <v>6064.97</v>
      </c>
      <c r="W93" s="27">
        <v>4645.8599999999997</v>
      </c>
      <c r="X93" s="5">
        <v>1419.11</v>
      </c>
      <c r="AA93" s="14" t="s">
        <v>91</v>
      </c>
      <c r="AB93" s="15" t="s">
        <v>106</v>
      </c>
      <c r="AC93" s="5">
        <v>23408.07</v>
      </c>
      <c r="AD93" s="5">
        <v>30423.5</v>
      </c>
      <c r="AE93" s="27">
        <v>53831.57</v>
      </c>
      <c r="AF93" s="27">
        <v>49227.8</v>
      </c>
      <c r="AG93" s="5">
        <v>4603.7700000000004</v>
      </c>
    </row>
    <row r="94" spans="1:33" ht="15.75" hidden="1">
      <c r="A94" s="28">
        <f t="shared" si="3"/>
        <v>92</v>
      </c>
      <c r="B94" s="14" t="s">
        <v>92</v>
      </c>
      <c r="C94" s="15" t="s">
        <v>141</v>
      </c>
      <c r="D94" s="37">
        <v>-2772.35</v>
      </c>
      <c r="E94" s="33">
        <f t="shared" si="5"/>
        <v>-381176.53</v>
      </c>
      <c r="F94" s="8"/>
      <c r="G94" s="38">
        <f t="shared" si="4"/>
        <v>92</v>
      </c>
      <c r="H94" s="14" t="s">
        <v>92</v>
      </c>
      <c r="I94" s="15" t="s">
        <v>141</v>
      </c>
      <c r="J94" s="39">
        <v>-2528.85</v>
      </c>
      <c r="K94" s="33">
        <f t="shared" si="6"/>
        <v>-377471.77</v>
      </c>
      <c r="L94" s="33">
        <f t="shared" si="7"/>
        <v>243.5</v>
      </c>
      <c r="M94" s="8"/>
      <c r="N94" s="25" t="s">
        <v>29</v>
      </c>
      <c r="O94" s="26" t="s">
        <v>129</v>
      </c>
      <c r="P94" s="1"/>
      <c r="AA94" s="14" t="s">
        <v>92</v>
      </c>
      <c r="AB94" s="15" t="s">
        <v>106</v>
      </c>
      <c r="AC94" s="5">
        <v>4416.88</v>
      </c>
      <c r="AD94" s="5">
        <v>2131.08</v>
      </c>
      <c r="AE94" s="27">
        <v>6547.96</v>
      </c>
      <c r="AF94" s="27">
        <v>6127.48</v>
      </c>
      <c r="AG94" s="6">
        <v>420.48</v>
      </c>
    </row>
    <row r="95" spans="1:33" ht="15.75" hidden="1">
      <c r="A95" s="28">
        <f t="shared" si="3"/>
        <v>93</v>
      </c>
      <c r="B95" s="14" t="s">
        <v>93</v>
      </c>
      <c r="C95" s="15" t="s">
        <v>141</v>
      </c>
      <c r="D95" s="37">
        <v>-5946.7</v>
      </c>
      <c r="E95" s="33">
        <f t="shared" si="5"/>
        <v>-387123.23</v>
      </c>
      <c r="F95" s="8"/>
      <c r="G95" s="38">
        <f t="shared" si="4"/>
        <v>93</v>
      </c>
      <c r="H95" s="14" t="s">
        <v>93</v>
      </c>
      <c r="I95" s="15" t="s">
        <v>141</v>
      </c>
      <c r="J95" s="39">
        <v>-4950.3</v>
      </c>
      <c r="K95" s="33">
        <f t="shared" si="6"/>
        <v>-382422.07</v>
      </c>
      <c r="L95" s="33">
        <f t="shared" si="7"/>
        <v>996.4</v>
      </c>
      <c r="M95" s="8"/>
      <c r="N95" s="14" t="s">
        <v>30</v>
      </c>
      <c r="O95" s="15" t="s">
        <v>129</v>
      </c>
      <c r="P95" s="1"/>
      <c r="AA95" s="14" t="s">
        <v>93</v>
      </c>
      <c r="AB95" s="15" t="s">
        <v>106</v>
      </c>
      <c r="AC95" s="5">
        <v>1986.56</v>
      </c>
      <c r="AD95" s="5">
        <v>1678.65</v>
      </c>
      <c r="AE95" s="27">
        <v>3665.21</v>
      </c>
      <c r="AF95" s="27">
        <v>3587.21</v>
      </c>
      <c r="AG95" s="6">
        <v>78</v>
      </c>
    </row>
    <row r="96" spans="1:33" ht="15.75" hidden="1">
      <c r="A96" s="28">
        <f>A95+1</f>
        <v>94</v>
      </c>
      <c r="B96" s="51" t="s">
        <v>94</v>
      </c>
      <c r="C96" s="52" t="s">
        <v>141</v>
      </c>
      <c r="D96" s="37">
        <v>-8178.13</v>
      </c>
      <c r="E96" s="44">
        <f t="shared" si="5"/>
        <v>-395301.36</v>
      </c>
      <c r="F96" s="8"/>
      <c r="G96" s="38">
        <f>G95+1</f>
        <v>94</v>
      </c>
      <c r="H96" s="51" t="s">
        <v>94</v>
      </c>
      <c r="I96" s="52" t="s">
        <v>141</v>
      </c>
      <c r="J96" s="39">
        <v>-8090.43</v>
      </c>
      <c r="K96" s="33">
        <f t="shared" si="6"/>
        <v>-390512.5</v>
      </c>
      <c r="L96" s="33">
        <f t="shared" si="7"/>
        <v>87.699999999999804</v>
      </c>
      <c r="M96" s="8"/>
      <c r="N96" s="14" t="s">
        <v>31</v>
      </c>
      <c r="O96" s="15" t="s">
        <v>129</v>
      </c>
      <c r="P96" s="1">
        <v>-1791.3</v>
      </c>
      <c r="AA96" s="51" t="s">
        <v>94</v>
      </c>
      <c r="AB96" s="15" t="s">
        <v>106</v>
      </c>
      <c r="AC96" s="5">
        <v>1077.8900000000001</v>
      </c>
      <c r="AD96" s="6">
        <v>366.88</v>
      </c>
      <c r="AE96" s="27">
        <v>1444.77</v>
      </c>
      <c r="AF96" s="27">
        <v>1190.1600000000001</v>
      </c>
      <c r="AG96" s="6">
        <v>254.61</v>
      </c>
    </row>
    <row r="97" spans="1:33" ht="15.75" hidden="1">
      <c r="A97" s="28">
        <f>A96+1</f>
        <v>95</v>
      </c>
      <c r="B97" s="50" t="s">
        <v>95</v>
      </c>
      <c r="C97" s="49" t="s">
        <v>106</v>
      </c>
      <c r="D97" s="37"/>
      <c r="E97" s="33">
        <f t="shared" si="5"/>
        <v>-395301.36</v>
      </c>
      <c r="F97" s="8"/>
      <c r="G97" s="38">
        <f>G96+1</f>
        <v>95</v>
      </c>
      <c r="H97" s="50" t="s">
        <v>95</v>
      </c>
      <c r="I97" s="49" t="s">
        <v>106</v>
      </c>
      <c r="J97" s="39"/>
      <c r="K97" s="33">
        <f t="shared" si="6"/>
        <v>-390512.5</v>
      </c>
      <c r="L97" s="33"/>
      <c r="M97" s="8"/>
      <c r="N97" s="14" t="s">
        <v>32</v>
      </c>
      <c r="O97" s="15" t="s">
        <v>129</v>
      </c>
      <c r="P97" s="1"/>
      <c r="AA97" s="50" t="s">
        <v>95</v>
      </c>
      <c r="AB97" s="49" t="s">
        <v>106</v>
      </c>
      <c r="AC97" s="5">
        <v>5727.1</v>
      </c>
      <c r="AD97" s="5">
        <v>10765.83</v>
      </c>
      <c r="AE97" s="27">
        <v>16492.93</v>
      </c>
      <c r="AF97" s="27">
        <v>10678.29</v>
      </c>
      <c r="AG97" s="5">
        <v>5814.64</v>
      </c>
    </row>
    <row r="98" spans="1:33" ht="15.75" hidden="1">
      <c r="A98" s="28">
        <f>A97+1</f>
        <v>96</v>
      </c>
      <c r="B98" s="14" t="s">
        <v>96</v>
      </c>
      <c r="C98" s="15" t="s">
        <v>106</v>
      </c>
      <c r="D98" s="37"/>
      <c r="E98" s="33">
        <f t="shared" si="5"/>
        <v>-395301.36</v>
      </c>
      <c r="F98" s="8"/>
      <c r="G98" s="38">
        <f>G97+1</f>
        <v>96</v>
      </c>
      <c r="H98" s="14" t="s">
        <v>96</v>
      </c>
      <c r="I98" s="15" t="s">
        <v>106</v>
      </c>
      <c r="J98" s="39"/>
      <c r="K98" s="33">
        <f t="shared" si="6"/>
        <v>-390512.5</v>
      </c>
      <c r="L98" s="33"/>
      <c r="M98" s="8"/>
      <c r="N98" s="14" t="s">
        <v>33</v>
      </c>
      <c r="O98" s="15" t="s">
        <v>129</v>
      </c>
      <c r="P98" s="1">
        <v>595.95000000000005</v>
      </c>
      <c r="AA98" s="14" t="s">
        <v>96</v>
      </c>
      <c r="AB98" s="15" t="s">
        <v>106</v>
      </c>
      <c r="AC98" s="5">
        <v>14251.72</v>
      </c>
      <c r="AD98" s="5">
        <v>9374.75</v>
      </c>
      <c r="AE98" s="27">
        <v>23626.47</v>
      </c>
      <c r="AF98" s="27">
        <v>21760.18</v>
      </c>
      <c r="AG98" s="5">
        <v>1866.29</v>
      </c>
    </row>
    <row r="99" spans="1:33" ht="15.75" hidden="1">
      <c r="A99" s="28">
        <f>A98+1</f>
        <v>97</v>
      </c>
      <c r="B99" s="22" t="s">
        <v>116</v>
      </c>
      <c r="C99" s="23" t="s">
        <v>106</v>
      </c>
      <c r="D99" s="37"/>
      <c r="E99" s="44">
        <f t="shared" si="5"/>
        <v>-395301.36</v>
      </c>
      <c r="F99" s="8"/>
      <c r="G99" s="53">
        <f>G98+1</f>
        <v>97</v>
      </c>
      <c r="H99" s="22" t="s">
        <v>116</v>
      </c>
      <c r="I99" s="23" t="s">
        <v>106</v>
      </c>
      <c r="J99" s="39"/>
      <c r="K99" s="33">
        <f t="shared" si="6"/>
        <v>-390512.5</v>
      </c>
      <c r="L99" s="33"/>
      <c r="M99" s="8"/>
      <c r="N99" s="14" t="s">
        <v>34</v>
      </c>
      <c r="O99" s="15" t="s">
        <v>129</v>
      </c>
      <c r="P99" s="1">
        <v>-9004.83</v>
      </c>
      <c r="AA99" s="22" t="s">
        <v>116</v>
      </c>
      <c r="AB99" s="23" t="s">
        <v>106</v>
      </c>
      <c r="AC99" s="5">
        <v>12949.18</v>
      </c>
      <c r="AD99" s="5">
        <v>15696.08</v>
      </c>
      <c r="AE99" s="27">
        <v>28645.26</v>
      </c>
      <c r="AF99" s="27">
        <v>22971.35</v>
      </c>
      <c r="AG99" s="5">
        <v>5673.91</v>
      </c>
    </row>
    <row r="100" spans="1:33" ht="15.75" hidden="1">
      <c r="A100" s="28">
        <f>A99+1</f>
        <v>98</v>
      </c>
      <c r="B100" s="8" t="s">
        <v>120</v>
      </c>
      <c r="C100" s="23" t="s">
        <v>106</v>
      </c>
      <c r="D100" s="54">
        <v>-1979.4</v>
      </c>
      <c r="E100" s="44">
        <f t="shared" si="5"/>
        <v>-397280.76</v>
      </c>
      <c r="F100" s="8"/>
      <c r="G100" s="53">
        <f>G99+1</f>
        <v>98</v>
      </c>
      <c r="H100" s="8" t="s">
        <v>120</v>
      </c>
      <c r="I100" s="23" t="s">
        <v>106</v>
      </c>
      <c r="J100" s="55">
        <v>-2372.4</v>
      </c>
      <c r="K100" s="33">
        <f t="shared" si="6"/>
        <v>-392884.9</v>
      </c>
      <c r="L100" s="33">
        <f t="shared" si="7"/>
        <v>-393</v>
      </c>
      <c r="M100" s="8"/>
      <c r="N100" s="14" t="s">
        <v>131</v>
      </c>
      <c r="O100" s="15" t="s">
        <v>129</v>
      </c>
      <c r="P100" s="1"/>
      <c r="AA100" s="8" t="s">
        <v>120</v>
      </c>
      <c r="AB100" s="23" t="s">
        <v>106</v>
      </c>
      <c r="AC100" s="5">
        <v>5727.95</v>
      </c>
      <c r="AD100" s="5">
        <v>2023.23</v>
      </c>
      <c r="AE100" s="27">
        <v>7751.18</v>
      </c>
      <c r="AF100" s="27">
        <v>6495.03</v>
      </c>
      <c r="AG100" s="5">
        <v>1256.1500000000001</v>
      </c>
    </row>
    <row r="101" spans="1:33" ht="15.75" hidden="1">
      <c r="A101" s="56"/>
      <c r="B101" s="57" t="s">
        <v>102</v>
      </c>
      <c r="C101" s="58"/>
      <c r="D101" s="59">
        <f>SUM(D3:D100)</f>
        <v>-397280.76</v>
      </c>
      <c r="E101" s="59">
        <f>E100</f>
        <v>-397280.76</v>
      </c>
      <c r="F101" s="60"/>
      <c r="G101" s="60"/>
      <c r="H101" s="57" t="s">
        <v>102</v>
      </c>
      <c r="I101" s="60"/>
      <c r="J101" s="59">
        <f>SUM(J3:J100)</f>
        <v>-392884.9</v>
      </c>
      <c r="K101" s="59">
        <f>K100</f>
        <v>-392884.9</v>
      </c>
      <c r="L101" s="59">
        <f t="shared" si="7"/>
        <v>4395.8599999999897</v>
      </c>
      <c r="M101" s="8"/>
      <c r="N101" s="14" t="s">
        <v>36</v>
      </c>
      <c r="O101" s="15" t="s">
        <v>129</v>
      </c>
      <c r="P101" s="1">
        <v>-4120.53</v>
      </c>
    </row>
    <row r="102" spans="1:33" ht="15.75" hidden="1">
      <c r="A102" s="61"/>
      <c r="B102" s="61"/>
      <c r="C102" s="61"/>
      <c r="D102" s="8"/>
      <c r="E102" s="8"/>
      <c r="F102" s="8"/>
      <c r="G102" s="8"/>
      <c r="H102" s="8"/>
      <c r="I102" s="8"/>
      <c r="J102" s="8"/>
      <c r="K102" s="8"/>
      <c r="L102" s="8"/>
      <c r="M102" s="62">
        <f>J101-D101</f>
        <v>4395.8599999999897</v>
      </c>
      <c r="N102" s="14" t="s">
        <v>37</v>
      </c>
      <c r="O102" s="15" t="s">
        <v>129</v>
      </c>
      <c r="P102" s="1">
        <v>-12859.03</v>
      </c>
    </row>
    <row r="103" spans="1:33" ht="15.75" hidden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62">
        <f>SUM(J3:J100)</f>
        <v>-392884.9</v>
      </c>
      <c r="N103" s="43" t="s">
        <v>38</v>
      </c>
      <c r="O103" s="23" t="s">
        <v>130</v>
      </c>
      <c r="P103" s="1">
        <v>-305.3</v>
      </c>
    </row>
    <row r="104" spans="1:33" ht="15.75" hidden="1">
      <c r="A104" s="127" t="s">
        <v>142</v>
      </c>
      <c r="B104" s="128"/>
      <c r="C104" s="128"/>
      <c r="D104" s="128"/>
      <c r="E104" s="129"/>
      <c r="F104" s="12"/>
      <c r="G104" s="127" t="s">
        <v>143</v>
      </c>
      <c r="H104" s="128"/>
      <c r="I104" s="128"/>
      <c r="J104" s="128"/>
      <c r="K104" s="129"/>
      <c r="L104" s="130" t="s">
        <v>105</v>
      </c>
      <c r="M104" s="62">
        <f>SUM(D3:D100)</f>
        <v>-397280.76</v>
      </c>
      <c r="N104" s="25" t="s">
        <v>39</v>
      </c>
      <c r="O104" s="26" t="s">
        <v>132</v>
      </c>
      <c r="P104" s="1">
        <v>2656.45</v>
      </c>
    </row>
    <row r="105" spans="1:33" ht="33" hidden="1" customHeight="1">
      <c r="A105" s="18" t="s">
        <v>112</v>
      </c>
      <c r="B105" s="19" t="s">
        <v>0</v>
      </c>
      <c r="C105" s="12" t="s">
        <v>113</v>
      </c>
      <c r="D105" s="20" t="s">
        <v>114</v>
      </c>
      <c r="E105" s="20" t="s">
        <v>115</v>
      </c>
      <c r="F105" s="63"/>
      <c r="G105" s="13" t="s">
        <v>112</v>
      </c>
      <c r="H105" s="12" t="s">
        <v>0</v>
      </c>
      <c r="I105" s="12" t="s">
        <v>113</v>
      </c>
      <c r="J105" s="12"/>
      <c r="K105" s="12" t="s">
        <v>115</v>
      </c>
      <c r="L105" s="131"/>
      <c r="M105" s="62">
        <f>M103-M104</f>
        <v>4395.8599999999897</v>
      </c>
      <c r="N105" s="14" t="s">
        <v>40</v>
      </c>
      <c r="O105" s="15" t="s">
        <v>132</v>
      </c>
      <c r="P105" s="1">
        <v>293.64</v>
      </c>
    </row>
    <row r="106" spans="1:33" ht="15.75" hidden="1">
      <c r="A106" s="64">
        <v>1</v>
      </c>
      <c r="B106" s="14" t="s">
        <v>8</v>
      </c>
      <c r="C106" s="15" t="s">
        <v>119</v>
      </c>
      <c r="D106" s="65"/>
      <c r="E106" s="66">
        <f>D106</f>
        <v>0</v>
      </c>
      <c r="F106" s="67"/>
      <c r="G106" s="68">
        <v>1</v>
      </c>
      <c r="H106" s="14" t="s">
        <v>8</v>
      </c>
      <c r="I106" s="15" t="s">
        <v>119</v>
      </c>
      <c r="J106" s="32">
        <v>843.1</v>
      </c>
      <c r="K106" s="69">
        <f>J106</f>
        <v>843.1</v>
      </c>
      <c r="L106" s="70">
        <f t="shared" ref="L106:L156" si="8">J106-D106</f>
        <v>843.1</v>
      </c>
      <c r="M106" s="62"/>
      <c r="N106" s="14" t="s">
        <v>41</v>
      </c>
      <c r="O106" s="15" t="s">
        <v>132</v>
      </c>
      <c r="P106" s="1">
        <v>-16344.34</v>
      </c>
    </row>
    <row r="107" spans="1:33" ht="15.75" hidden="1">
      <c r="A107" s="71">
        <f>1+A106</f>
        <v>2</v>
      </c>
      <c r="B107" s="25" t="s">
        <v>3</v>
      </c>
      <c r="C107" s="15" t="s">
        <v>119</v>
      </c>
      <c r="D107" s="72"/>
      <c r="E107" s="73">
        <f>D107+E106</f>
        <v>0</v>
      </c>
      <c r="F107" s="74"/>
      <c r="G107" s="75">
        <f>1+G106</f>
        <v>2</v>
      </c>
      <c r="H107" s="25" t="s">
        <v>3</v>
      </c>
      <c r="I107" s="15" t="s">
        <v>119</v>
      </c>
      <c r="J107" s="72"/>
      <c r="K107" s="69">
        <f>K106+J107</f>
        <v>843.1</v>
      </c>
      <c r="L107" s="70"/>
      <c r="M107" s="62"/>
      <c r="N107" s="14" t="s">
        <v>42</v>
      </c>
      <c r="O107" s="15" t="s">
        <v>132</v>
      </c>
      <c r="P107" s="1">
        <v>-1339.46</v>
      </c>
    </row>
    <row r="108" spans="1:33" ht="15.75" hidden="1">
      <c r="A108" s="71">
        <f t="shared" ref="A108:A157" si="9">1+A107</f>
        <v>3</v>
      </c>
      <c r="B108" s="25" t="s">
        <v>10</v>
      </c>
      <c r="C108" s="15" t="s">
        <v>119</v>
      </c>
      <c r="D108" s="76"/>
      <c r="E108" s="73">
        <f t="shared" ref="E108:E157" si="10">D108+E107</f>
        <v>0</v>
      </c>
      <c r="F108" s="77"/>
      <c r="G108" s="75">
        <f t="shared" ref="G108:G157" si="11">1+G107</f>
        <v>3</v>
      </c>
      <c r="H108" s="25" t="s">
        <v>10</v>
      </c>
      <c r="I108" s="15" t="s">
        <v>119</v>
      </c>
      <c r="J108" s="76"/>
      <c r="K108" s="69">
        <f t="shared" ref="K108:K157" si="12">K107+J108</f>
        <v>843.1</v>
      </c>
      <c r="L108" s="70"/>
      <c r="M108" s="62"/>
      <c r="N108" s="14" t="s">
        <v>43</v>
      </c>
      <c r="O108" s="15" t="s">
        <v>132</v>
      </c>
      <c r="P108" s="1">
        <v>-248</v>
      </c>
    </row>
    <row r="109" spans="1:33" ht="15.75" hidden="1">
      <c r="A109" s="71">
        <f t="shared" si="9"/>
        <v>4</v>
      </c>
      <c r="B109" s="78" t="s">
        <v>11</v>
      </c>
      <c r="C109" s="79" t="s">
        <v>119</v>
      </c>
      <c r="D109" s="37">
        <v>326.68</v>
      </c>
      <c r="E109" s="73">
        <f t="shared" si="10"/>
        <v>326.68</v>
      </c>
      <c r="F109" s="77"/>
      <c r="G109" s="75">
        <f t="shared" si="11"/>
        <v>4</v>
      </c>
      <c r="H109" s="43" t="s">
        <v>11</v>
      </c>
      <c r="I109" s="23" t="s">
        <v>119</v>
      </c>
      <c r="J109" s="39">
        <v>282.98</v>
      </c>
      <c r="K109" s="69">
        <f t="shared" si="12"/>
        <v>1126.08</v>
      </c>
      <c r="L109" s="70">
        <f>J109-D109</f>
        <v>-43.7</v>
      </c>
      <c r="M109" s="62"/>
      <c r="N109" s="14" t="s">
        <v>44</v>
      </c>
      <c r="O109" s="15" t="s">
        <v>132</v>
      </c>
      <c r="P109" s="1">
        <v>-3018.38</v>
      </c>
    </row>
    <row r="110" spans="1:33" ht="16.149999999999999" hidden="1" customHeight="1">
      <c r="A110" s="71">
        <f t="shared" si="9"/>
        <v>5</v>
      </c>
      <c r="B110" s="14" t="s">
        <v>22</v>
      </c>
      <c r="C110" s="15" t="s">
        <v>126</v>
      </c>
      <c r="D110" s="37">
        <v>1147.1199999999999</v>
      </c>
      <c r="E110" s="73">
        <f t="shared" si="10"/>
        <v>1473.8</v>
      </c>
      <c r="F110" s="77"/>
      <c r="G110" s="75">
        <f t="shared" si="11"/>
        <v>5</v>
      </c>
      <c r="H110" s="14" t="s">
        <v>22</v>
      </c>
      <c r="I110" s="15" t="s">
        <v>126</v>
      </c>
      <c r="J110" s="39">
        <v>3540.17</v>
      </c>
      <c r="K110" s="69">
        <f t="shared" si="12"/>
        <v>4666.25</v>
      </c>
      <c r="L110" s="70">
        <f t="shared" si="8"/>
        <v>2393.0500000000002</v>
      </c>
      <c r="M110" s="62"/>
      <c r="N110" s="48" t="s">
        <v>45</v>
      </c>
      <c r="O110" s="49" t="s">
        <v>132</v>
      </c>
      <c r="P110" s="1">
        <v>559.87</v>
      </c>
    </row>
    <row r="111" spans="1:33" ht="15.75" hidden="1">
      <c r="A111" s="71">
        <f t="shared" si="9"/>
        <v>6</v>
      </c>
      <c r="B111" s="14" t="s">
        <v>23</v>
      </c>
      <c r="C111" s="15" t="s">
        <v>126</v>
      </c>
      <c r="D111" s="76"/>
      <c r="E111" s="73">
        <f t="shared" si="10"/>
        <v>1473.8</v>
      </c>
      <c r="F111" s="77"/>
      <c r="G111" s="75">
        <f t="shared" si="11"/>
        <v>6</v>
      </c>
      <c r="H111" s="14" t="s">
        <v>23</v>
      </c>
      <c r="I111" s="15" t="s">
        <v>126</v>
      </c>
      <c r="J111" s="76"/>
      <c r="K111" s="69">
        <f t="shared" si="12"/>
        <v>4666.25</v>
      </c>
      <c r="L111" s="70"/>
      <c r="M111" s="62"/>
      <c r="N111" s="50" t="s">
        <v>46</v>
      </c>
      <c r="O111" s="49" t="s">
        <v>132</v>
      </c>
      <c r="P111" s="1">
        <v>-18354.900000000001</v>
      </c>
    </row>
    <row r="112" spans="1:33" ht="15.75" hidden="1">
      <c r="A112" s="71">
        <f t="shared" si="9"/>
        <v>7</v>
      </c>
      <c r="B112" s="14" t="s">
        <v>24</v>
      </c>
      <c r="C112" s="15" t="s">
        <v>126</v>
      </c>
      <c r="D112" s="76"/>
      <c r="E112" s="73">
        <f t="shared" si="10"/>
        <v>1473.8</v>
      </c>
      <c r="F112" s="77"/>
      <c r="G112" s="75">
        <f t="shared" si="11"/>
        <v>7</v>
      </c>
      <c r="H112" s="14" t="s">
        <v>24</v>
      </c>
      <c r="I112" s="15" t="s">
        <v>126</v>
      </c>
      <c r="J112" s="76"/>
      <c r="K112" s="69">
        <f t="shared" si="12"/>
        <v>4666.25</v>
      </c>
      <c r="L112" s="70"/>
      <c r="M112" s="62"/>
      <c r="N112" s="14" t="s">
        <v>47</v>
      </c>
      <c r="O112" s="15" t="s">
        <v>132</v>
      </c>
      <c r="P112" s="1">
        <v>261.43</v>
      </c>
    </row>
    <row r="113" spans="1:16" ht="15.75" hidden="1">
      <c r="A113" s="71">
        <f t="shared" si="9"/>
        <v>8</v>
      </c>
      <c r="B113" s="14" t="s">
        <v>33</v>
      </c>
      <c r="C113" s="15" t="s">
        <v>126</v>
      </c>
      <c r="D113" s="37">
        <v>735.15</v>
      </c>
      <c r="E113" s="73">
        <f t="shared" si="10"/>
        <v>2208.9499999999998</v>
      </c>
      <c r="F113" s="77"/>
      <c r="G113" s="75">
        <f t="shared" si="11"/>
        <v>8</v>
      </c>
      <c r="H113" s="14" t="s">
        <v>33</v>
      </c>
      <c r="I113" s="15" t="s">
        <v>126</v>
      </c>
      <c r="J113" s="39">
        <v>595.95000000000005</v>
      </c>
      <c r="K113" s="69">
        <f t="shared" si="12"/>
        <v>5262.2</v>
      </c>
      <c r="L113" s="70">
        <f t="shared" si="8"/>
        <v>-139.19999999999999</v>
      </c>
      <c r="M113" s="62"/>
      <c r="N113" s="14" t="s">
        <v>48</v>
      </c>
      <c r="O113" s="15" t="s">
        <v>132</v>
      </c>
      <c r="P113" s="1">
        <v>-903.12</v>
      </c>
    </row>
    <row r="114" spans="1:16" ht="15.75" hidden="1">
      <c r="A114" s="71">
        <f t="shared" si="9"/>
        <v>9</v>
      </c>
      <c r="B114" s="47" t="s">
        <v>127</v>
      </c>
      <c r="C114" s="15" t="s">
        <v>126</v>
      </c>
      <c r="D114" s="37">
        <v>498.04</v>
      </c>
      <c r="E114" s="73">
        <f t="shared" si="10"/>
        <v>2706.99</v>
      </c>
      <c r="F114" s="77"/>
      <c r="G114" s="75">
        <f t="shared" si="11"/>
        <v>9</v>
      </c>
      <c r="H114" s="47" t="s">
        <v>127</v>
      </c>
      <c r="I114" s="15" t="s">
        <v>126</v>
      </c>
      <c r="J114" s="39">
        <v>194.74</v>
      </c>
      <c r="K114" s="69">
        <f t="shared" si="12"/>
        <v>5456.94</v>
      </c>
      <c r="L114" s="70">
        <f t="shared" si="8"/>
        <v>-303.3</v>
      </c>
      <c r="M114" s="62"/>
      <c r="N114" s="14" t="s">
        <v>49</v>
      </c>
      <c r="O114" s="15" t="s">
        <v>132</v>
      </c>
      <c r="P114" s="1">
        <v>-843.42</v>
      </c>
    </row>
    <row r="115" spans="1:16" ht="15.75" hidden="1">
      <c r="A115" s="71">
        <f t="shared" si="9"/>
        <v>10</v>
      </c>
      <c r="B115" s="14" t="s">
        <v>40</v>
      </c>
      <c r="C115" s="15" t="s">
        <v>129</v>
      </c>
      <c r="D115" s="37">
        <v>769.3</v>
      </c>
      <c r="E115" s="73">
        <f t="shared" si="10"/>
        <v>3476.29</v>
      </c>
      <c r="F115" s="77"/>
      <c r="G115" s="75">
        <f t="shared" si="11"/>
        <v>10</v>
      </c>
      <c r="H115" s="14" t="s">
        <v>40</v>
      </c>
      <c r="I115" s="15" t="s">
        <v>129</v>
      </c>
      <c r="J115" s="39">
        <v>293.64</v>
      </c>
      <c r="K115" s="69">
        <f t="shared" si="12"/>
        <v>5750.58</v>
      </c>
      <c r="L115" s="70">
        <f t="shared" si="8"/>
        <v>-475.66</v>
      </c>
      <c r="M115" s="62"/>
      <c r="N115" s="14" t="s">
        <v>50</v>
      </c>
      <c r="O115" s="15" t="s">
        <v>132</v>
      </c>
      <c r="P115" s="1">
        <v>-636.36</v>
      </c>
    </row>
    <row r="116" spans="1:16" ht="15.75" hidden="1">
      <c r="A116" s="71">
        <f t="shared" si="9"/>
        <v>11</v>
      </c>
      <c r="B116" s="43" t="s">
        <v>38</v>
      </c>
      <c r="C116" s="15" t="s">
        <v>130</v>
      </c>
      <c r="D116" s="72"/>
      <c r="E116" s="73">
        <f t="shared" si="10"/>
        <v>3476.29</v>
      </c>
      <c r="F116" s="77"/>
      <c r="G116" s="75">
        <f t="shared" si="11"/>
        <v>11</v>
      </c>
      <c r="H116" s="43" t="s">
        <v>38</v>
      </c>
      <c r="I116" s="23" t="s">
        <v>130</v>
      </c>
      <c r="J116" s="72"/>
      <c r="K116" s="69">
        <f t="shared" si="12"/>
        <v>5750.58</v>
      </c>
      <c r="L116" s="70"/>
      <c r="M116" s="62"/>
      <c r="N116" s="25" t="s">
        <v>51</v>
      </c>
      <c r="O116" s="26" t="s">
        <v>133</v>
      </c>
      <c r="P116" s="1">
        <v>-132.12</v>
      </c>
    </row>
    <row r="117" spans="1:16" ht="15.75" hidden="1">
      <c r="A117" s="71">
        <f t="shared" si="9"/>
        <v>12</v>
      </c>
      <c r="B117" s="25" t="s">
        <v>39</v>
      </c>
      <c r="C117" s="26" t="s">
        <v>132</v>
      </c>
      <c r="D117" s="37">
        <v>1816.65</v>
      </c>
      <c r="E117" s="73">
        <f t="shared" si="10"/>
        <v>5292.94</v>
      </c>
      <c r="F117" s="77"/>
      <c r="G117" s="75">
        <f t="shared" si="11"/>
        <v>12</v>
      </c>
      <c r="H117" s="25" t="s">
        <v>39</v>
      </c>
      <c r="I117" s="26" t="s">
        <v>132</v>
      </c>
      <c r="J117" s="39">
        <v>2656.45</v>
      </c>
      <c r="K117" s="69">
        <f t="shared" si="12"/>
        <v>8407.0300000000007</v>
      </c>
      <c r="L117" s="70">
        <f t="shared" si="8"/>
        <v>839.8</v>
      </c>
      <c r="M117" s="62"/>
      <c r="N117" s="14" t="s">
        <v>52</v>
      </c>
      <c r="O117" s="15" t="s">
        <v>133</v>
      </c>
      <c r="P117" s="1">
        <v>389.98</v>
      </c>
    </row>
    <row r="118" spans="1:16" ht="15.75" hidden="1">
      <c r="A118" s="71">
        <f t="shared" si="9"/>
        <v>13</v>
      </c>
      <c r="B118" s="14" t="s">
        <v>42</v>
      </c>
      <c r="C118" s="15" t="s">
        <v>132</v>
      </c>
      <c r="D118" s="72"/>
      <c r="E118" s="73">
        <f t="shared" si="10"/>
        <v>5292.94</v>
      </c>
      <c r="F118" s="77"/>
      <c r="G118" s="75">
        <f t="shared" si="11"/>
        <v>13</v>
      </c>
      <c r="H118" s="14" t="s">
        <v>42</v>
      </c>
      <c r="I118" s="15" t="s">
        <v>132</v>
      </c>
      <c r="J118" s="80"/>
      <c r="K118" s="69">
        <f t="shared" si="12"/>
        <v>8407.0300000000007</v>
      </c>
      <c r="L118" s="70"/>
      <c r="M118" s="62"/>
      <c r="N118" s="14" t="s">
        <v>53</v>
      </c>
      <c r="O118" s="15" t="s">
        <v>133</v>
      </c>
      <c r="P118" s="1">
        <v>-632.41999999999996</v>
      </c>
    </row>
    <row r="119" spans="1:16" ht="16.899999999999999" hidden="1" customHeight="1">
      <c r="A119" s="71">
        <f t="shared" si="9"/>
        <v>14</v>
      </c>
      <c r="B119" s="48" t="s">
        <v>45</v>
      </c>
      <c r="C119" s="49" t="s">
        <v>132</v>
      </c>
      <c r="D119" s="37">
        <v>1057.78</v>
      </c>
      <c r="E119" s="73">
        <f t="shared" si="10"/>
        <v>6350.72</v>
      </c>
      <c r="F119" s="77"/>
      <c r="G119" s="75">
        <f t="shared" si="11"/>
        <v>14</v>
      </c>
      <c r="H119" s="48" t="s">
        <v>45</v>
      </c>
      <c r="I119" s="49" t="s">
        <v>132</v>
      </c>
      <c r="J119" s="39">
        <v>559.87</v>
      </c>
      <c r="K119" s="69">
        <f t="shared" si="12"/>
        <v>8966.9</v>
      </c>
      <c r="L119" s="70">
        <f t="shared" si="8"/>
        <v>-497.91</v>
      </c>
      <c r="M119" s="62"/>
      <c r="N119" s="14" t="s">
        <v>54</v>
      </c>
      <c r="O119" s="15" t="s">
        <v>133</v>
      </c>
      <c r="P119" s="1">
        <v>3658.5230000000001</v>
      </c>
    </row>
    <row r="120" spans="1:16" ht="15.75" hidden="1">
      <c r="A120" s="71">
        <f t="shared" si="9"/>
        <v>15</v>
      </c>
      <c r="B120" s="14" t="s">
        <v>47</v>
      </c>
      <c r="C120" s="15" t="s">
        <v>132</v>
      </c>
      <c r="D120" s="37">
        <v>231.33</v>
      </c>
      <c r="E120" s="73">
        <f t="shared" si="10"/>
        <v>6582.05</v>
      </c>
      <c r="F120" s="77"/>
      <c r="G120" s="75">
        <f t="shared" si="11"/>
        <v>15</v>
      </c>
      <c r="H120" s="14" t="s">
        <v>47</v>
      </c>
      <c r="I120" s="15" t="s">
        <v>132</v>
      </c>
      <c r="J120" s="37"/>
      <c r="K120" s="69">
        <f t="shared" si="12"/>
        <v>8966.9</v>
      </c>
      <c r="L120" s="70">
        <f t="shared" si="8"/>
        <v>-231.33</v>
      </c>
      <c r="M120" s="62"/>
      <c r="N120" s="14" t="s">
        <v>55</v>
      </c>
      <c r="O120" s="15" t="s">
        <v>133</v>
      </c>
      <c r="P120" s="1">
        <v>-5401.63</v>
      </c>
    </row>
    <row r="121" spans="1:16" ht="15.75" hidden="1">
      <c r="A121" s="71">
        <f t="shared" si="9"/>
        <v>16</v>
      </c>
      <c r="B121" s="14" t="s">
        <v>48</v>
      </c>
      <c r="C121" s="15" t="s">
        <v>132</v>
      </c>
      <c r="D121" s="76"/>
      <c r="E121" s="73">
        <f t="shared" si="10"/>
        <v>6582.05</v>
      </c>
      <c r="F121" s="77"/>
      <c r="G121" s="75">
        <f t="shared" si="11"/>
        <v>16</v>
      </c>
      <c r="H121" s="14" t="s">
        <v>48</v>
      </c>
      <c r="I121" s="15" t="s">
        <v>132</v>
      </c>
      <c r="J121" s="76"/>
      <c r="K121" s="69">
        <f t="shared" si="12"/>
        <v>8966.9</v>
      </c>
      <c r="L121" s="70"/>
      <c r="M121" s="62"/>
      <c r="N121" s="14" t="s">
        <v>56</v>
      </c>
      <c r="O121" s="15" t="s">
        <v>133</v>
      </c>
      <c r="P121" s="1">
        <v>-4068.22</v>
      </c>
    </row>
    <row r="122" spans="1:16" ht="15.75" hidden="1">
      <c r="A122" s="71">
        <f t="shared" si="9"/>
        <v>17</v>
      </c>
      <c r="B122" s="14" t="s">
        <v>49</v>
      </c>
      <c r="C122" s="15" t="s">
        <v>132</v>
      </c>
      <c r="D122" s="72"/>
      <c r="E122" s="73">
        <f t="shared" si="10"/>
        <v>6582.05</v>
      </c>
      <c r="F122" s="77"/>
      <c r="G122" s="75">
        <f t="shared" si="11"/>
        <v>17</v>
      </c>
      <c r="H122" s="14" t="s">
        <v>49</v>
      </c>
      <c r="I122" s="15" t="s">
        <v>132</v>
      </c>
      <c r="J122" s="72"/>
      <c r="K122" s="69">
        <f t="shared" si="12"/>
        <v>8966.9</v>
      </c>
      <c r="L122" s="70"/>
      <c r="M122" s="62"/>
      <c r="N122" s="14" t="s">
        <v>57</v>
      </c>
      <c r="O122" s="15" t="s">
        <v>133</v>
      </c>
      <c r="P122" s="1">
        <v>140.24</v>
      </c>
    </row>
    <row r="123" spans="1:16" ht="15.75" hidden="1">
      <c r="A123" s="71">
        <f t="shared" si="9"/>
        <v>18</v>
      </c>
      <c r="B123" s="14" t="s">
        <v>50</v>
      </c>
      <c r="C123" s="15" t="s">
        <v>132</v>
      </c>
      <c r="D123" s="76"/>
      <c r="E123" s="73">
        <f t="shared" si="10"/>
        <v>6582.05</v>
      </c>
      <c r="F123" s="77"/>
      <c r="G123" s="75">
        <f t="shared" si="11"/>
        <v>18</v>
      </c>
      <c r="H123" s="14" t="s">
        <v>50</v>
      </c>
      <c r="I123" s="15" t="s">
        <v>132</v>
      </c>
      <c r="J123" s="76"/>
      <c r="K123" s="69">
        <f t="shared" si="12"/>
        <v>8966.9</v>
      </c>
      <c r="L123" s="70"/>
      <c r="M123" s="62"/>
      <c r="N123" s="43" t="s">
        <v>58</v>
      </c>
      <c r="O123" s="23" t="s">
        <v>133</v>
      </c>
      <c r="P123" s="1">
        <v>-10463</v>
      </c>
    </row>
    <row r="124" spans="1:16" ht="15.75" hidden="1">
      <c r="A124" s="71">
        <f t="shared" si="9"/>
        <v>19</v>
      </c>
      <c r="B124" s="25" t="s">
        <v>51</v>
      </c>
      <c r="C124" s="81" t="s">
        <v>133</v>
      </c>
      <c r="D124" s="72"/>
      <c r="E124" s="73">
        <f t="shared" si="10"/>
        <v>6582.05</v>
      </c>
      <c r="F124" s="77"/>
      <c r="G124" s="75">
        <f t="shared" si="11"/>
        <v>19</v>
      </c>
      <c r="H124" s="25" t="s">
        <v>51</v>
      </c>
      <c r="I124" s="26" t="s">
        <v>133</v>
      </c>
      <c r="J124" s="72"/>
      <c r="K124" s="69">
        <f t="shared" si="12"/>
        <v>8966.9</v>
      </c>
      <c r="L124" s="70"/>
      <c r="M124" s="62"/>
      <c r="N124" s="25" t="s">
        <v>59</v>
      </c>
      <c r="O124" s="26" t="s">
        <v>134</v>
      </c>
      <c r="P124" s="1">
        <v>424.01</v>
      </c>
    </row>
    <row r="125" spans="1:16" ht="15.75" hidden="1">
      <c r="A125" s="71">
        <f t="shared" si="9"/>
        <v>20</v>
      </c>
      <c r="B125" s="14" t="s">
        <v>52</v>
      </c>
      <c r="C125" s="15" t="s">
        <v>133</v>
      </c>
      <c r="D125" s="37">
        <v>379.18</v>
      </c>
      <c r="E125" s="73">
        <f t="shared" si="10"/>
        <v>6961.23</v>
      </c>
      <c r="F125" s="77"/>
      <c r="G125" s="75">
        <f t="shared" si="11"/>
        <v>20</v>
      </c>
      <c r="H125" s="14" t="s">
        <v>52</v>
      </c>
      <c r="I125" s="15" t="s">
        <v>133</v>
      </c>
      <c r="J125" s="39">
        <v>389.98</v>
      </c>
      <c r="K125" s="69">
        <f t="shared" si="12"/>
        <v>9356.8799999999992</v>
      </c>
      <c r="L125" s="70">
        <f t="shared" si="8"/>
        <v>10.8</v>
      </c>
      <c r="M125" s="62"/>
      <c r="N125" s="14" t="s">
        <v>60</v>
      </c>
      <c r="O125" s="15" t="s">
        <v>134</v>
      </c>
      <c r="P125" s="1">
        <v>-412.48</v>
      </c>
    </row>
    <row r="126" spans="1:16" ht="15.75" hidden="1">
      <c r="A126" s="71">
        <f t="shared" si="9"/>
        <v>21</v>
      </c>
      <c r="B126" s="14" t="s">
        <v>53</v>
      </c>
      <c r="C126" s="15" t="s">
        <v>133</v>
      </c>
      <c r="D126" s="72"/>
      <c r="E126" s="73">
        <f t="shared" si="10"/>
        <v>6961.23</v>
      </c>
      <c r="F126" s="77"/>
      <c r="G126" s="75">
        <f t="shared" si="11"/>
        <v>21</v>
      </c>
      <c r="H126" s="14" t="s">
        <v>53</v>
      </c>
      <c r="I126" s="15" t="s">
        <v>133</v>
      </c>
      <c r="J126" s="72"/>
      <c r="K126" s="69">
        <f t="shared" si="12"/>
        <v>9356.8799999999992</v>
      </c>
      <c r="L126" s="70"/>
      <c r="M126" s="62"/>
      <c r="N126" s="14" t="s">
        <v>61</v>
      </c>
      <c r="O126" s="15" t="s">
        <v>134</v>
      </c>
      <c r="P126" s="1">
        <v>281.20999999999998</v>
      </c>
    </row>
    <row r="127" spans="1:16" ht="15.75" hidden="1">
      <c r="A127" s="71">
        <f t="shared" si="9"/>
        <v>22</v>
      </c>
      <c r="B127" s="14" t="s">
        <v>54</v>
      </c>
      <c r="C127" s="15" t="s">
        <v>133</v>
      </c>
      <c r="D127" s="37">
        <v>3539.723</v>
      </c>
      <c r="E127" s="73">
        <f t="shared" si="10"/>
        <v>10500.953</v>
      </c>
      <c r="F127" s="77"/>
      <c r="G127" s="75">
        <f t="shared" si="11"/>
        <v>22</v>
      </c>
      <c r="H127" s="14" t="s">
        <v>54</v>
      </c>
      <c r="I127" s="15" t="s">
        <v>133</v>
      </c>
      <c r="J127" s="39">
        <v>3658.5230000000001</v>
      </c>
      <c r="K127" s="69">
        <f t="shared" si="12"/>
        <v>13015.403</v>
      </c>
      <c r="L127" s="70">
        <f t="shared" si="8"/>
        <v>118.8</v>
      </c>
      <c r="M127" s="62"/>
      <c r="N127" s="14" t="s">
        <v>62</v>
      </c>
      <c r="O127" s="15" t="s">
        <v>134</v>
      </c>
      <c r="P127" s="1">
        <v>410.85</v>
      </c>
    </row>
    <row r="128" spans="1:16" ht="15.75" hidden="1">
      <c r="A128" s="71">
        <f t="shared" si="9"/>
        <v>23</v>
      </c>
      <c r="B128" s="14" t="s">
        <v>57</v>
      </c>
      <c r="C128" s="15" t="s">
        <v>133</v>
      </c>
      <c r="D128" s="37">
        <v>393.94</v>
      </c>
      <c r="E128" s="73">
        <f t="shared" si="10"/>
        <v>10894.893</v>
      </c>
      <c r="F128" s="77"/>
      <c r="G128" s="75">
        <f t="shared" si="11"/>
        <v>23</v>
      </c>
      <c r="H128" s="14" t="s">
        <v>57</v>
      </c>
      <c r="I128" s="15" t="s">
        <v>133</v>
      </c>
      <c r="J128" s="39">
        <v>140.24</v>
      </c>
      <c r="K128" s="69">
        <f t="shared" si="12"/>
        <v>13155.643</v>
      </c>
      <c r="L128" s="70">
        <f t="shared" si="8"/>
        <v>-253.7</v>
      </c>
      <c r="M128" s="62"/>
      <c r="N128" s="14" t="s">
        <v>63</v>
      </c>
      <c r="O128" s="15" t="s">
        <v>134</v>
      </c>
      <c r="P128" s="1">
        <v>431</v>
      </c>
    </row>
    <row r="129" spans="1:16" ht="15.75" hidden="1">
      <c r="A129" s="71">
        <f t="shared" si="9"/>
        <v>24</v>
      </c>
      <c r="B129" s="25" t="s">
        <v>59</v>
      </c>
      <c r="C129" s="15" t="s">
        <v>134</v>
      </c>
      <c r="D129" s="37">
        <v>324.61</v>
      </c>
      <c r="E129" s="73">
        <f t="shared" si="10"/>
        <v>11219.503000000001</v>
      </c>
      <c r="F129" s="77"/>
      <c r="G129" s="75">
        <f t="shared" si="11"/>
        <v>24</v>
      </c>
      <c r="H129" s="25" t="s">
        <v>59</v>
      </c>
      <c r="I129" s="26" t="s">
        <v>134</v>
      </c>
      <c r="J129" s="39">
        <v>424.01</v>
      </c>
      <c r="K129" s="69">
        <f t="shared" si="12"/>
        <v>13579.653</v>
      </c>
      <c r="L129" s="70">
        <f t="shared" si="8"/>
        <v>99.4</v>
      </c>
      <c r="M129" s="62"/>
      <c r="N129" s="14" t="s">
        <v>64</v>
      </c>
      <c r="O129" s="15" t="s">
        <v>134</v>
      </c>
      <c r="P129" s="1">
        <v>-46.45</v>
      </c>
    </row>
    <row r="130" spans="1:16" ht="15.75" hidden="1">
      <c r="A130" s="71">
        <f t="shared" si="9"/>
        <v>25</v>
      </c>
      <c r="B130" s="14" t="s">
        <v>61</v>
      </c>
      <c r="C130" s="15" t="s">
        <v>134</v>
      </c>
      <c r="D130" s="72"/>
      <c r="E130" s="73">
        <f t="shared" si="10"/>
        <v>11219.503000000001</v>
      </c>
      <c r="F130" s="77"/>
      <c r="G130" s="75">
        <f t="shared" si="11"/>
        <v>25</v>
      </c>
      <c r="H130" s="14" t="s">
        <v>60</v>
      </c>
      <c r="I130" s="15" t="s">
        <v>134</v>
      </c>
      <c r="J130" s="72"/>
      <c r="K130" s="69">
        <f t="shared" si="12"/>
        <v>13579.653</v>
      </c>
      <c r="L130" s="70"/>
      <c r="M130" s="62"/>
      <c r="N130" s="14" t="s">
        <v>65</v>
      </c>
      <c r="O130" s="15" t="s">
        <v>134</v>
      </c>
      <c r="P130" s="1">
        <v>421.49</v>
      </c>
    </row>
    <row r="131" spans="1:16" ht="15.75" hidden="1">
      <c r="A131" s="71">
        <f t="shared" si="9"/>
        <v>26</v>
      </c>
      <c r="B131" s="14" t="s">
        <v>62</v>
      </c>
      <c r="C131" s="15" t="s">
        <v>134</v>
      </c>
      <c r="D131" s="37">
        <v>180.61</v>
      </c>
      <c r="E131" s="73">
        <f t="shared" si="10"/>
        <v>11400.112999999999</v>
      </c>
      <c r="F131" s="77"/>
      <c r="G131" s="75">
        <f t="shared" si="11"/>
        <v>26</v>
      </c>
      <c r="H131" s="14" t="s">
        <v>61</v>
      </c>
      <c r="I131" s="15" t="s">
        <v>134</v>
      </c>
      <c r="J131" s="39">
        <v>281.20999999999998</v>
      </c>
      <c r="K131" s="69">
        <f t="shared" si="12"/>
        <v>13860.862999999999</v>
      </c>
      <c r="L131" s="70">
        <f t="shared" si="8"/>
        <v>100.6</v>
      </c>
      <c r="M131" s="62"/>
      <c r="N131" s="43" t="s">
        <v>66</v>
      </c>
      <c r="O131" s="23" t="s">
        <v>134</v>
      </c>
      <c r="P131" s="1">
        <v>1262.19</v>
      </c>
    </row>
    <row r="132" spans="1:16" ht="15.75" hidden="1">
      <c r="A132" s="71">
        <f t="shared" si="9"/>
        <v>27</v>
      </c>
      <c r="B132" s="14" t="s">
        <v>63</v>
      </c>
      <c r="C132" s="15" t="s">
        <v>134</v>
      </c>
      <c r="D132" s="37">
        <v>103.25</v>
      </c>
      <c r="E132" s="73">
        <f t="shared" si="10"/>
        <v>11503.362999999999</v>
      </c>
      <c r="F132" s="77"/>
      <c r="G132" s="75">
        <f t="shared" si="11"/>
        <v>27</v>
      </c>
      <c r="H132" s="14" t="s">
        <v>62</v>
      </c>
      <c r="I132" s="15" t="s">
        <v>134</v>
      </c>
      <c r="J132" s="39">
        <v>410.85</v>
      </c>
      <c r="K132" s="69">
        <f t="shared" si="12"/>
        <v>14271.713</v>
      </c>
      <c r="L132" s="70">
        <f t="shared" si="8"/>
        <v>307.60000000000002</v>
      </c>
      <c r="M132" s="62"/>
      <c r="N132" s="25" t="s">
        <v>67</v>
      </c>
      <c r="O132" s="26" t="s">
        <v>135</v>
      </c>
      <c r="P132" s="1">
        <v>-1323.21</v>
      </c>
    </row>
    <row r="133" spans="1:16" ht="15.75" hidden="1">
      <c r="A133" s="71">
        <f t="shared" si="9"/>
        <v>28</v>
      </c>
      <c r="B133" s="14" t="s">
        <v>63</v>
      </c>
      <c r="C133" s="15" t="s">
        <v>134</v>
      </c>
      <c r="D133" s="37">
        <v>397.67</v>
      </c>
      <c r="E133" s="73">
        <f t="shared" si="10"/>
        <v>11901.032999999999</v>
      </c>
      <c r="F133" s="77"/>
      <c r="G133" s="75">
        <f t="shared" si="11"/>
        <v>28</v>
      </c>
      <c r="H133" s="14" t="s">
        <v>63</v>
      </c>
      <c r="I133" s="15" t="s">
        <v>134</v>
      </c>
      <c r="J133" s="39">
        <v>431</v>
      </c>
      <c r="K133" s="69">
        <f t="shared" si="12"/>
        <v>14702.713</v>
      </c>
      <c r="L133" s="70">
        <f t="shared" si="8"/>
        <v>33.33</v>
      </c>
      <c r="M133" s="62"/>
      <c r="N133" s="14" t="s">
        <v>68</v>
      </c>
      <c r="O133" s="15" t="s">
        <v>135</v>
      </c>
      <c r="P133" s="1">
        <v>-2645.96</v>
      </c>
    </row>
    <row r="134" spans="1:16" ht="15.75" hidden="1">
      <c r="A134" s="71">
        <f t="shared" si="9"/>
        <v>29</v>
      </c>
      <c r="B134" s="14" t="s">
        <v>64</v>
      </c>
      <c r="C134" s="15" t="s">
        <v>134</v>
      </c>
      <c r="D134" s="37">
        <v>22.25</v>
      </c>
      <c r="E134" s="73">
        <f t="shared" si="10"/>
        <v>11923.282999999999</v>
      </c>
      <c r="F134" s="77"/>
      <c r="G134" s="75">
        <f t="shared" si="11"/>
        <v>29</v>
      </c>
      <c r="H134" s="14" t="s">
        <v>64</v>
      </c>
      <c r="I134" s="15" t="s">
        <v>134</v>
      </c>
      <c r="J134" s="37"/>
      <c r="K134" s="69">
        <f t="shared" si="12"/>
        <v>14702.713</v>
      </c>
      <c r="L134" s="70">
        <f t="shared" si="8"/>
        <v>-22.25</v>
      </c>
      <c r="M134" s="62"/>
      <c r="N134" s="43" t="s">
        <v>69</v>
      </c>
      <c r="O134" s="23" t="s">
        <v>135</v>
      </c>
      <c r="P134" s="1">
        <v>-3712.06</v>
      </c>
    </row>
    <row r="135" spans="1:16" ht="15.75" hidden="1">
      <c r="A135" s="71">
        <f t="shared" si="9"/>
        <v>30</v>
      </c>
      <c r="B135" s="14" t="s">
        <v>65</v>
      </c>
      <c r="C135" s="15" t="s">
        <v>134</v>
      </c>
      <c r="D135" s="37">
        <v>157.49</v>
      </c>
      <c r="E135" s="73">
        <f t="shared" si="10"/>
        <v>12080.772999999999</v>
      </c>
      <c r="F135" s="77"/>
      <c r="G135" s="75">
        <f t="shared" si="11"/>
        <v>30</v>
      </c>
      <c r="H135" s="14" t="s">
        <v>65</v>
      </c>
      <c r="I135" s="15" t="s">
        <v>134</v>
      </c>
      <c r="J135" s="39">
        <v>421.49</v>
      </c>
      <c r="K135" s="69">
        <f t="shared" si="12"/>
        <v>15124.203</v>
      </c>
      <c r="L135" s="70">
        <f t="shared" si="8"/>
        <v>264</v>
      </c>
      <c r="M135" s="62"/>
      <c r="N135" s="25" t="s">
        <v>136</v>
      </c>
      <c r="O135" s="26" t="s">
        <v>137</v>
      </c>
      <c r="P135" s="1">
        <v>-3620.96</v>
      </c>
    </row>
    <row r="136" spans="1:16" ht="15.75" hidden="1">
      <c r="A136" s="71">
        <f t="shared" si="9"/>
        <v>31</v>
      </c>
      <c r="B136" s="43" t="s">
        <v>66</v>
      </c>
      <c r="C136" s="23" t="s">
        <v>134</v>
      </c>
      <c r="D136" s="37">
        <v>977.07</v>
      </c>
      <c r="E136" s="73">
        <f t="shared" si="10"/>
        <v>13057.843000000001</v>
      </c>
      <c r="F136" s="77"/>
      <c r="G136" s="75">
        <f t="shared" si="11"/>
        <v>31</v>
      </c>
      <c r="H136" s="43" t="s">
        <v>66</v>
      </c>
      <c r="I136" s="23" t="s">
        <v>135</v>
      </c>
      <c r="J136" s="39">
        <v>1262.19</v>
      </c>
      <c r="K136" s="69">
        <f t="shared" si="12"/>
        <v>16386.393</v>
      </c>
      <c r="L136" s="70">
        <f t="shared" si="8"/>
        <v>285.12</v>
      </c>
      <c r="M136" s="62"/>
      <c r="N136" s="14" t="s">
        <v>71</v>
      </c>
      <c r="O136" s="15" t="s">
        <v>137</v>
      </c>
      <c r="P136" s="1">
        <v>760.79</v>
      </c>
    </row>
    <row r="137" spans="1:16" ht="15.75" hidden="1">
      <c r="A137" s="71">
        <f t="shared" si="9"/>
        <v>32</v>
      </c>
      <c r="B137" s="14" t="s">
        <v>71</v>
      </c>
      <c r="C137" s="26" t="s">
        <v>137</v>
      </c>
      <c r="D137" s="37">
        <v>732.26</v>
      </c>
      <c r="E137" s="73">
        <f t="shared" si="10"/>
        <v>13790.102999999999</v>
      </c>
      <c r="F137" s="77"/>
      <c r="G137" s="75">
        <f t="shared" si="11"/>
        <v>32</v>
      </c>
      <c r="H137" s="14" t="s">
        <v>71</v>
      </c>
      <c r="I137" s="26" t="s">
        <v>137</v>
      </c>
      <c r="J137" s="39">
        <v>760.79</v>
      </c>
      <c r="K137" s="69">
        <f t="shared" si="12"/>
        <v>17147.183000000001</v>
      </c>
      <c r="L137" s="70">
        <f t="shared" si="8"/>
        <v>28.53</v>
      </c>
      <c r="M137" s="62"/>
      <c r="N137" s="14" t="s">
        <v>72</v>
      </c>
      <c r="O137" s="15" t="s">
        <v>137</v>
      </c>
      <c r="P137" s="1">
        <v>1452</v>
      </c>
    </row>
    <row r="138" spans="1:16" ht="15.75" hidden="1">
      <c r="A138" s="71">
        <f t="shared" si="9"/>
        <v>33</v>
      </c>
      <c r="B138" s="14" t="s">
        <v>72</v>
      </c>
      <c r="C138" s="82" t="s">
        <v>137</v>
      </c>
      <c r="D138" s="37">
        <v>8090.43</v>
      </c>
      <c r="E138" s="73">
        <f t="shared" si="10"/>
        <v>21880.532999999999</v>
      </c>
      <c r="F138" s="77"/>
      <c r="G138" s="75">
        <f t="shared" si="11"/>
        <v>33</v>
      </c>
      <c r="H138" s="14" t="s">
        <v>72</v>
      </c>
      <c r="I138" s="82" t="s">
        <v>137</v>
      </c>
      <c r="J138" s="39">
        <v>1452</v>
      </c>
      <c r="K138" s="69">
        <f t="shared" si="12"/>
        <v>18599.183000000001</v>
      </c>
      <c r="L138" s="70">
        <f t="shared" si="8"/>
        <v>-6638.43</v>
      </c>
      <c r="M138" s="62"/>
      <c r="N138" s="14" t="s">
        <v>138</v>
      </c>
      <c r="O138" s="15" t="s">
        <v>137</v>
      </c>
      <c r="P138" s="1"/>
    </row>
    <row r="139" spans="1:16" ht="15.75" hidden="1">
      <c r="A139" s="71">
        <f t="shared" si="9"/>
        <v>34</v>
      </c>
      <c r="B139" s="25" t="s">
        <v>77</v>
      </c>
      <c r="C139" s="26" t="s">
        <v>139</v>
      </c>
      <c r="D139" s="37">
        <v>872.07</v>
      </c>
      <c r="E139" s="73">
        <f t="shared" si="10"/>
        <v>22752.602999999999</v>
      </c>
      <c r="F139" s="77"/>
      <c r="G139" s="75">
        <f t="shared" si="11"/>
        <v>34</v>
      </c>
      <c r="H139" s="25" t="s">
        <v>77</v>
      </c>
      <c r="I139" s="26" t="s">
        <v>139</v>
      </c>
      <c r="J139" s="39">
        <v>1429.07</v>
      </c>
      <c r="K139" s="69">
        <f t="shared" si="12"/>
        <v>20028.253000000001</v>
      </c>
      <c r="L139" s="70">
        <f t="shared" si="8"/>
        <v>557</v>
      </c>
      <c r="M139" s="62"/>
      <c r="N139" s="14" t="s">
        <v>74</v>
      </c>
      <c r="O139" s="15" t="s">
        <v>137</v>
      </c>
      <c r="P139" s="1">
        <v>-4452.1000000000004</v>
      </c>
    </row>
    <row r="140" spans="1:16" ht="15.75" hidden="1">
      <c r="A140" s="71">
        <f t="shared" si="9"/>
        <v>35</v>
      </c>
      <c r="B140" s="14" t="s">
        <v>78</v>
      </c>
      <c r="C140" s="15" t="s">
        <v>139</v>
      </c>
      <c r="D140" s="37">
        <v>131.80000000000001</v>
      </c>
      <c r="E140" s="73">
        <f t="shared" si="10"/>
        <v>22884.402999999998</v>
      </c>
      <c r="F140" s="77"/>
      <c r="G140" s="75">
        <f t="shared" si="11"/>
        <v>35</v>
      </c>
      <c r="H140" s="14" t="s">
        <v>78</v>
      </c>
      <c r="I140" s="15" t="s">
        <v>139</v>
      </c>
      <c r="J140" s="39">
        <v>492.6</v>
      </c>
      <c r="K140" s="69">
        <f t="shared" si="12"/>
        <v>20520.852999999999</v>
      </c>
      <c r="L140" s="70">
        <f t="shared" si="8"/>
        <v>360.8</v>
      </c>
      <c r="M140" s="62"/>
      <c r="N140" s="14" t="s">
        <v>75</v>
      </c>
      <c r="O140" s="15" t="s">
        <v>137</v>
      </c>
      <c r="P140" s="1">
        <v>-16948.990000000002</v>
      </c>
    </row>
    <row r="141" spans="1:16" ht="15.75" hidden="1">
      <c r="A141" s="71">
        <f t="shared" si="9"/>
        <v>36</v>
      </c>
      <c r="B141" s="14" t="s">
        <v>79</v>
      </c>
      <c r="C141" s="15" t="s">
        <v>139</v>
      </c>
      <c r="D141" s="76"/>
      <c r="E141" s="73">
        <f t="shared" si="10"/>
        <v>22884.402999999998</v>
      </c>
      <c r="F141" s="77"/>
      <c r="G141" s="75">
        <f t="shared" si="11"/>
        <v>36</v>
      </c>
      <c r="H141" s="14" t="s">
        <v>79</v>
      </c>
      <c r="I141" s="15" t="s">
        <v>139</v>
      </c>
      <c r="J141" s="76"/>
      <c r="K141" s="69">
        <f t="shared" si="12"/>
        <v>20520.852999999999</v>
      </c>
      <c r="L141" s="70"/>
      <c r="M141" s="62"/>
      <c r="N141" s="43" t="s">
        <v>76</v>
      </c>
      <c r="O141" s="23" t="s">
        <v>137</v>
      </c>
      <c r="P141" s="1">
        <v>-48550.64</v>
      </c>
    </row>
    <row r="142" spans="1:16" ht="15.75" hidden="1">
      <c r="A142" s="71">
        <f t="shared" si="9"/>
        <v>37</v>
      </c>
      <c r="B142" s="25" t="s">
        <v>80</v>
      </c>
      <c r="C142" s="15" t="s">
        <v>139</v>
      </c>
      <c r="D142" s="37">
        <v>25.21</v>
      </c>
      <c r="E142" s="73">
        <f t="shared" si="10"/>
        <v>22909.613000000001</v>
      </c>
      <c r="F142" s="77"/>
      <c r="G142" s="75">
        <f t="shared" si="11"/>
        <v>37</v>
      </c>
      <c r="H142" s="14" t="s">
        <v>80</v>
      </c>
      <c r="I142" s="15" t="s">
        <v>139</v>
      </c>
      <c r="J142" s="39">
        <v>98.21</v>
      </c>
      <c r="K142" s="69">
        <f t="shared" si="12"/>
        <v>20619.062999999998</v>
      </c>
      <c r="L142" s="70">
        <f t="shared" si="8"/>
        <v>73</v>
      </c>
      <c r="M142" s="62"/>
      <c r="N142" s="25" t="s">
        <v>77</v>
      </c>
      <c r="O142" s="26" t="s">
        <v>139</v>
      </c>
      <c r="P142" s="1">
        <v>1429.07</v>
      </c>
    </row>
    <row r="143" spans="1:16" ht="15.75" hidden="1">
      <c r="A143" s="71">
        <f t="shared" si="9"/>
        <v>38</v>
      </c>
      <c r="B143" s="14" t="s">
        <v>81</v>
      </c>
      <c r="C143" s="15" t="s">
        <v>139</v>
      </c>
      <c r="D143" s="76"/>
      <c r="E143" s="73">
        <f t="shared" si="10"/>
        <v>22909.613000000001</v>
      </c>
      <c r="F143" s="77"/>
      <c r="G143" s="75">
        <f t="shared" si="11"/>
        <v>38</v>
      </c>
      <c r="H143" s="14" t="s">
        <v>81</v>
      </c>
      <c r="I143" s="15" t="s">
        <v>139</v>
      </c>
      <c r="J143" s="76"/>
      <c r="K143" s="69">
        <f t="shared" si="12"/>
        <v>20619.062999999998</v>
      </c>
      <c r="L143" s="70"/>
      <c r="M143" s="62"/>
      <c r="N143" s="14" t="s">
        <v>78</v>
      </c>
      <c r="O143" s="15" t="s">
        <v>139</v>
      </c>
      <c r="P143" s="1">
        <v>492.6</v>
      </c>
    </row>
    <row r="144" spans="1:16" ht="15.75" hidden="1">
      <c r="A144" s="71">
        <f t="shared" si="9"/>
        <v>39</v>
      </c>
      <c r="B144" s="14" t="s">
        <v>82</v>
      </c>
      <c r="C144" s="15" t="s">
        <v>139</v>
      </c>
      <c r="D144" s="37">
        <v>36.700000000000003</v>
      </c>
      <c r="E144" s="73">
        <f t="shared" si="10"/>
        <v>22946.312999999998</v>
      </c>
      <c r="F144" s="77"/>
      <c r="G144" s="75">
        <f t="shared" si="11"/>
        <v>39</v>
      </c>
      <c r="H144" s="14" t="s">
        <v>82</v>
      </c>
      <c r="I144" s="15" t="s">
        <v>139</v>
      </c>
      <c r="J144" s="37"/>
      <c r="K144" s="69">
        <f t="shared" si="12"/>
        <v>20619.062999999998</v>
      </c>
      <c r="L144" s="70">
        <f t="shared" si="8"/>
        <v>-36.700000000000003</v>
      </c>
      <c r="M144" s="62"/>
      <c r="N144" s="14" t="s">
        <v>79</v>
      </c>
      <c r="O144" s="15" t="s">
        <v>139</v>
      </c>
      <c r="P144" s="1">
        <v>-1905.51</v>
      </c>
    </row>
    <row r="145" spans="1:16" ht="15.75" hidden="1">
      <c r="A145" s="71">
        <f t="shared" si="9"/>
        <v>40</v>
      </c>
      <c r="B145" s="14" t="s">
        <v>83</v>
      </c>
      <c r="C145" s="15" t="s">
        <v>139</v>
      </c>
      <c r="D145" s="76"/>
      <c r="E145" s="73">
        <f t="shared" si="10"/>
        <v>22946.312999999998</v>
      </c>
      <c r="F145" s="77"/>
      <c r="G145" s="75">
        <f t="shared" si="11"/>
        <v>40</v>
      </c>
      <c r="H145" s="14" t="s">
        <v>83</v>
      </c>
      <c r="I145" s="15" t="s">
        <v>139</v>
      </c>
      <c r="J145" s="76"/>
      <c r="K145" s="69">
        <f t="shared" si="12"/>
        <v>20619.062999999998</v>
      </c>
      <c r="L145" s="70"/>
      <c r="M145" s="62"/>
      <c r="N145" s="14" t="s">
        <v>80</v>
      </c>
      <c r="O145" s="15" t="s">
        <v>139</v>
      </c>
      <c r="P145" s="1">
        <v>98.21</v>
      </c>
    </row>
    <row r="146" spans="1:16" ht="15.75" hidden="1">
      <c r="A146" s="71">
        <f t="shared" si="9"/>
        <v>41</v>
      </c>
      <c r="B146" s="14" t="s">
        <v>84</v>
      </c>
      <c r="C146" s="15" t="s">
        <v>139</v>
      </c>
      <c r="D146" s="37">
        <v>536.6</v>
      </c>
      <c r="E146" s="73">
        <f t="shared" si="10"/>
        <v>23482.913</v>
      </c>
      <c r="F146" s="77"/>
      <c r="G146" s="75">
        <f t="shared" si="11"/>
        <v>41</v>
      </c>
      <c r="H146" s="14" t="s">
        <v>84</v>
      </c>
      <c r="I146" s="15" t="s">
        <v>139</v>
      </c>
      <c r="J146" s="39">
        <v>899.3</v>
      </c>
      <c r="K146" s="69">
        <f t="shared" si="12"/>
        <v>21518.363000000001</v>
      </c>
      <c r="L146" s="70">
        <f t="shared" si="8"/>
        <v>362.7</v>
      </c>
      <c r="M146" s="62"/>
      <c r="N146" s="14" t="s">
        <v>81</v>
      </c>
      <c r="O146" s="15" t="s">
        <v>139</v>
      </c>
      <c r="P146" s="1">
        <v>-454.2</v>
      </c>
    </row>
    <row r="147" spans="1:16" ht="15.75" hidden="1">
      <c r="A147" s="71">
        <f t="shared" si="9"/>
        <v>42</v>
      </c>
      <c r="B147" s="14" t="s">
        <v>86</v>
      </c>
      <c r="C147" s="15" t="s">
        <v>139</v>
      </c>
      <c r="D147" s="37">
        <v>52.7</v>
      </c>
      <c r="E147" s="73">
        <f t="shared" si="10"/>
        <v>23535.613000000001</v>
      </c>
      <c r="F147" s="77"/>
      <c r="G147" s="75">
        <f t="shared" si="11"/>
        <v>42</v>
      </c>
      <c r="H147" s="14" t="s">
        <v>86</v>
      </c>
      <c r="I147" s="23" t="s">
        <v>139</v>
      </c>
      <c r="J147" s="39">
        <v>208</v>
      </c>
      <c r="K147" s="69">
        <f t="shared" si="12"/>
        <v>21726.363000000001</v>
      </c>
      <c r="L147" s="70">
        <f t="shared" si="8"/>
        <v>155.30000000000001</v>
      </c>
      <c r="M147" s="62"/>
      <c r="N147" s="14" t="s">
        <v>82</v>
      </c>
      <c r="O147" s="15" t="s">
        <v>139</v>
      </c>
      <c r="P147" s="1">
        <v>-43.6</v>
      </c>
    </row>
    <row r="148" spans="1:16" ht="15.75" hidden="1">
      <c r="A148" s="71">
        <f t="shared" si="9"/>
        <v>43</v>
      </c>
      <c r="B148" s="43" t="s">
        <v>87</v>
      </c>
      <c r="C148" s="23" t="s">
        <v>139</v>
      </c>
      <c r="D148" s="76"/>
      <c r="E148" s="73">
        <f t="shared" si="10"/>
        <v>23535.613000000001</v>
      </c>
      <c r="F148" s="77"/>
      <c r="G148" s="75">
        <f t="shared" si="11"/>
        <v>43</v>
      </c>
      <c r="H148" s="43" t="s">
        <v>87</v>
      </c>
      <c r="I148" s="23" t="s">
        <v>139</v>
      </c>
      <c r="J148" s="76"/>
      <c r="K148" s="69">
        <f t="shared" si="12"/>
        <v>21726.363000000001</v>
      </c>
      <c r="L148" s="70"/>
      <c r="M148" s="62"/>
      <c r="N148" s="14" t="s">
        <v>83</v>
      </c>
      <c r="O148" s="15" t="s">
        <v>139</v>
      </c>
      <c r="P148" s="1">
        <v>-2205.73</v>
      </c>
    </row>
    <row r="149" spans="1:16" ht="15.75" hidden="1">
      <c r="A149" s="71">
        <f t="shared" si="9"/>
        <v>44</v>
      </c>
      <c r="B149" s="14" t="s">
        <v>89</v>
      </c>
      <c r="C149" s="15" t="s">
        <v>141</v>
      </c>
      <c r="D149" s="72"/>
      <c r="E149" s="73">
        <f t="shared" si="10"/>
        <v>23535.613000000001</v>
      </c>
      <c r="F149" s="77"/>
      <c r="G149" s="75">
        <f t="shared" si="11"/>
        <v>44</v>
      </c>
      <c r="H149" s="14" t="s">
        <v>89</v>
      </c>
      <c r="I149" s="15" t="s">
        <v>141</v>
      </c>
      <c r="J149" s="39">
        <v>551.20000000000005</v>
      </c>
      <c r="K149" s="69">
        <f t="shared" si="12"/>
        <v>22277.562999999998</v>
      </c>
      <c r="L149" s="70">
        <f t="shared" si="8"/>
        <v>551.20000000000005</v>
      </c>
      <c r="M149" s="62"/>
      <c r="N149" s="14" t="s">
        <v>84</v>
      </c>
      <c r="O149" s="15" t="s">
        <v>139</v>
      </c>
      <c r="P149" s="1">
        <v>899.3</v>
      </c>
    </row>
    <row r="150" spans="1:16" ht="15.75" hidden="1">
      <c r="A150" s="71">
        <f t="shared" si="9"/>
        <v>45</v>
      </c>
      <c r="B150" s="14" t="s">
        <v>90</v>
      </c>
      <c r="C150" s="15" t="s">
        <v>141</v>
      </c>
      <c r="D150" s="37">
        <v>351.7</v>
      </c>
      <c r="E150" s="73">
        <f t="shared" si="10"/>
        <v>23887.312999999998</v>
      </c>
      <c r="F150" s="77"/>
      <c r="G150" s="75">
        <f t="shared" si="11"/>
        <v>45</v>
      </c>
      <c r="H150" s="14" t="s">
        <v>90</v>
      </c>
      <c r="I150" s="15" t="s">
        <v>141</v>
      </c>
      <c r="J150" s="39">
        <v>498.9</v>
      </c>
      <c r="K150" s="69">
        <f t="shared" si="12"/>
        <v>22776.463</v>
      </c>
      <c r="L150" s="70">
        <f t="shared" si="8"/>
        <v>147.19999999999999</v>
      </c>
      <c r="M150" s="62"/>
      <c r="N150" s="14" t="s">
        <v>85</v>
      </c>
      <c r="O150" s="15" t="s">
        <v>139</v>
      </c>
      <c r="P150" s="1">
        <v>-2775.4</v>
      </c>
    </row>
    <row r="151" spans="1:16" ht="15.75" hidden="1">
      <c r="A151" s="71">
        <f t="shared" si="9"/>
        <v>46</v>
      </c>
      <c r="B151" s="14" t="s">
        <v>91</v>
      </c>
      <c r="C151" s="15" t="s">
        <v>141</v>
      </c>
      <c r="D151" s="37">
        <v>6845.75</v>
      </c>
      <c r="E151" s="73">
        <f t="shared" si="10"/>
        <v>30733.062999999998</v>
      </c>
      <c r="F151" s="77"/>
      <c r="G151" s="75">
        <f t="shared" si="11"/>
        <v>46</v>
      </c>
      <c r="H151" s="14" t="s">
        <v>91</v>
      </c>
      <c r="I151" s="15" t="s">
        <v>141</v>
      </c>
      <c r="J151" s="39">
        <v>16208.95</v>
      </c>
      <c r="K151" s="69">
        <f t="shared" si="12"/>
        <v>38985.413</v>
      </c>
      <c r="L151" s="70">
        <f t="shared" si="8"/>
        <v>9363.2000000000007</v>
      </c>
      <c r="M151" s="62"/>
      <c r="N151" s="14" t="s">
        <v>86</v>
      </c>
      <c r="O151" s="15" t="s">
        <v>139</v>
      </c>
      <c r="P151" s="1">
        <v>208</v>
      </c>
    </row>
    <row r="152" spans="1:16" ht="15.75" hidden="1">
      <c r="A152" s="71">
        <f t="shared" si="9"/>
        <v>47</v>
      </c>
      <c r="B152" s="14" t="s">
        <v>92</v>
      </c>
      <c r="C152" s="15" t="s">
        <v>141</v>
      </c>
      <c r="D152" s="76"/>
      <c r="E152" s="73">
        <f t="shared" si="10"/>
        <v>30733.062999999998</v>
      </c>
      <c r="F152" s="77"/>
      <c r="G152" s="75">
        <f t="shared" si="11"/>
        <v>47</v>
      </c>
      <c r="H152" s="14" t="s">
        <v>92</v>
      </c>
      <c r="I152" s="15" t="s">
        <v>141</v>
      </c>
      <c r="J152" s="76"/>
      <c r="K152" s="69">
        <f t="shared" si="12"/>
        <v>38985.413</v>
      </c>
      <c r="L152" s="70"/>
      <c r="M152" s="62"/>
      <c r="N152" s="43" t="s">
        <v>87</v>
      </c>
      <c r="O152" s="23" t="s">
        <v>139</v>
      </c>
      <c r="P152" s="1">
        <v>-2190.44</v>
      </c>
    </row>
    <row r="153" spans="1:16" ht="15.75" hidden="1">
      <c r="A153" s="71">
        <f t="shared" si="9"/>
        <v>48</v>
      </c>
      <c r="B153" s="51" t="s">
        <v>94</v>
      </c>
      <c r="C153" s="52" t="s">
        <v>141</v>
      </c>
      <c r="D153" s="76"/>
      <c r="E153" s="73">
        <f t="shared" si="10"/>
        <v>30733.062999999998</v>
      </c>
      <c r="F153" s="77"/>
      <c r="G153" s="75">
        <f t="shared" si="11"/>
        <v>48</v>
      </c>
      <c r="H153" s="51" t="s">
        <v>94</v>
      </c>
      <c r="I153" s="52" t="s">
        <v>141</v>
      </c>
      <c r="J153" s="76"/>
      <c r="K153" s="69">
        <f t="shared" si="12"/>
        <v>38985.413</v>
      </c>
      <c r="L153" s="70"/>
      <c r="M153" s="62"/>
      <c r="N153" s="25" t="s">
        <v>88</v>
      </c>
      <c r="O153" s="26" t="s">
        <v>141</v>
      </c>
      <c r="P153" s="1">
        <v>-9319.6</v>
      </c>
    </row>
    <row r="154" spans="1:16" ht="15.75" hidden="1">
      <c r="A154" s="71">
        <f t="shared" si="9"/>
        <v>49</v>
      </c>
      <c r="B154" s="83" t="s">
        <v>95</v>
      </c>
      <c r="C154" s="49" t="s">
        <v>106</v>
      </c>
      <c r="D154" s="37">
        <v>1382.76</v>
      </c>
      <c r="E154" s="73">
        <f t="shared" si="10"/>
        <v>32115.823</v>
      </c>
      <c r="F154" s="77"/>
      <c r="G154" s="75">
        <f t="shared" si="11"/>
        <v>49</v>
      </c>
      <c r="H154" s="50" t="s">
        <v>95</v>
      </c>
      <c r="I154" s="49" t="s">
        <v>106</v>
      </c>
      <c r="J154" s="39">
        <v>594.76</v>
      </c>
      <c r="K154" s="69">
        <f t="shared" si="12"/>
        <v>39580.173000000003</v>
      </c>
      <c r="L154" s="70">
        <f t="shared" si="8"/>
        <v>-788</v>
      </c>
      <c r="M154" s="62"/>
      <c r="N154" s="14" t="s">
        <v>89</v>
      </c>
      <c r="O154" s="15" t="s">
        <v>141</v>
      </c>
      <c r="P154" s="1">
        <v>551.20000000000005</v>
      </c>
    </row>
    <row r="155" spans="1:16" ht="15.75" hidden="1">
      <c r="A155" s="71">
        <f t="shared" si="9"/>
        <v>50</v>
      </c>
      <c r="B155" s="84" t="s">
        <v>96</v>
      </c>
      <c r="C155" s="15" t="s">
        <v>106</v>
      </c>
      <c r="D155" s="37">
        <v>5131.88</v>
      </c>
      <c r="E155" s="73">
        <f t="shared" si="10"/>
        <v>37247.703000000001</v>
      </c>
      <c r="F155" s="77"/>
      <c r="G155" s="75">
        <f t="shared" si="11"/>
        <v>50</v>
      </c>
      <c r="H155" s="14" t="s">
        <v>96</v>
      </c>
      <c r="I155" s="15" t="s">
        <v>106</v>
      </c>
      <c r="J155" s="39">
        <v>6292.68</v>
      </c>
      <c r="K155" s="69">
        <f t="shared" si="12"/>
        <v>45872.853000000003</v>
      </c>
      <c r="L155" s="70">
        <f t="shared" si="8"/>
        <v>1160.8</v>
      </c>
      <c r="M155" s="62">
        <f>J158-D158</f>
        <v>8720.75</v>
      </c>
      <c r="N155" s="14" t="s">
        <v>90</v>
      </c>
      <c r="O155" s="15" t="s">
        <v>141</v>
      </c>
      <c r="P155" s="1">
        <v>498.9</v>
      </c>
    </row>
    <row r="156" spans="1:16" ht="15.75" hidden="1">
      <c r="A156" s="71">
        <f t="shared" si="9"/>
        <v>51</v>
      </c>
      <c r="B156" s="85" t="s">
        <v>116</v>
      </c>
      <c r="C156" s="23" t="s">
        <v>106</v>
      </c>
      <c r="D156" s="37">
        <v>207.3</v>
      </c>
      <c r="E156" s="73">
        <f t="shared" si="10"/>
        <v>37455.002999999997</v>
      </c>
      <c r="F156" s="77"/>
      <c r="G156" s="75">
        <f t="shared" si="11"/>
        <v>51</v>
      </c>
      <c r="H156" s="22" t="s">
        <v>116</v>
      </c>
      <c r="I156" s="23" t="s">
        <v>106</v>
      </c>
      <c r="J156" s="39">
        <v>302.89999999999998</v>
      </c>
      <c r="K156" s="69">
        <f t="shared" si="12"/>
        <v>46175.752999999997</v>
      </c>
      <c r="L156" s="70">
        <f t="shared" si="8"/>
        <v>95.6</v>
      </c>
      <c r="M156" s="86"/>
      <c r="N156" s="14" t="s">
        <v>91</v>
      </c>
      <c r="O156" s="15" t="s">
        <v>141</v>
      </c>
      <c r="P156" s="1">
        <v>16208.95</v>
      </c>
    </row>
    <row r="157" spans="1:16" ht="15.75" hidden="1">
      <c r="A157" s="71">
        <f t="shared" si="9"/>
        <v>52</v>
      </c>
      <c r="B157" s="87" t="s">
        <v>120</v>
      </c>
      <c r="C157" s="23" t="s">
        <v>106</v>
      </c>
      <c r="D157" s="88"/>
      <c r="E157" s="73">
        <f t="shared" si="10"/>
        <v>37455.002999999997</v>
      </c>
      <c r="F157" s="89"/>
      <c r="G157" s="75">
        <f t="shared" si="11"/>
        <v>52</v>
      </c>
      <c r="H157" s="90" t="s">
        <v>120</v>
      </c>
      <c r="I157" s="23" t="s">
        <v>106</v>
      </c>
      <c r="J157" s="88"/>
      <c r="K157" s="69">
        <f t="shared" si="12"/>
        <v>46175.752999999997</v>
      </c>
      <c r="L157" s="70"/>
      <c r="M157" s="86"/>
      <c r="N157" s="14" t="s">
        <v>92</v>
      </c>
      <c r="O157" s="15" t="s">
        <v>141</v>
      </c>
      <c r="P157" s="1">
        <v>-2528.85</v>
      </c>
    </row>
    <row r="158" spans="1:16" ht="15.75" hidden="1">
      <c r="A158" s="8"/>
      <c r="B158" s="91" t="s">
        <v>102</v>
      </c>
      <c r="C158" s="92"/>
      <c r="D158" s="93">
        <f>SUM(D106:D157)</f>
        <v>37455.002999999997</v>
      </c>
      <c r="E158" s="59">
        <f>E157</f>
        <v>37455.002999999997</v>
      </c>
      <c r="F158" s="94"/>
      <c r="G158" s="95"/>
      <c r="H158" s="91" t="s">
        <v>102</v>
      </c>
      <c r="I158" s="60"/>
      <c r="J158" s="93">
        <f>SUM(J106:J157)</f>
        <v>46175.752999999997</v>
      </c>
      <c r="K158" s="59">
        <f>K157</f>
        <v>46175.752999999997</v>
      </c>
      <c r="L158" s="59">
        <f>K158-E158</f>
        <v>8720.75</v>
      </c>
      <c r="M158" s="62">
        <f>SUM(J106:J157)</f>
        <v>46175.752999999997</v>
      </c>
      <c r="N158" s="14" t="s">
        <v>93</v>
      </c>
      <c r="O158" s="15" t="s">
        <v>141</v>
      </c>
      <c r="P158" s="1">
        <v>-4950.3</v>
      </c>
    </row>
    <row r="159" spans="1:16" ht="15.75" hidden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62">
        <f>SUM(D106:D157)</f>
        <v>37455.002999999997</v>
      </c>
      <c r="N159" s="51" t="s">
        <v>94</v>
      </c>
      <c r="O159" s="52" t="s">
        <v>141</v>
      </c>
      <c r="P159" s="1" t="s">
        <v>144</v>
      </c>
    </row>
    <row r="160" spans="1:16" ht="15.75" hidden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62">
        <f>M158-M159</f>
        <v>8720.75</v>
      </c>
      <c r="N160" s="50" t="s">
        <v>95</v>
      </c>
      <c r="O160" s="49" t="s">
        <v>106</v>
      </c>
      <c r="P160" s="1">
        <v>594.76</v>
      </c>
    </row>
    <row r="161" spans="1:16" ht="15.75" hidden="1">
      <c r="A161" s="127" t="s">
        <v>104</v>
      </c>
      <c r="B161" s="128"/>
      <c r="C161" s="128"/>
      <c r="D161" s="128"/>
      <c r="E161" s="129"/>
      <c r="F161" s="12"/>
      <c r="G161" s="127" t="s">
        <v>145</v>
      </c>
      <c r="H161" s="128"/>
      <c r="I161" s="128"/>
      <c r="J161" s="128"/>
      <c r="K161" s="129"/>
      <c r="L161" s="130" t="s">
        <v>146</v>
      </c>
      <c r="M161" s="8"/>
      <c r="N161" s="14" t="s">
        <v>96</v>
      </c>
      <c r="O161" s="15" t="s">
        <v>106</v>
      </c>
      <c r="P161" s="1">
        <v>6292.68</v>
      </c>
    </row>
    <row r="162" spans="1:16" ht="31.5" hidden="1">
      <c r="A162" s="18" t="s">
        <v>112</v>
      </c>
      <c r="B162" s="19" t="s">
        <v>0</v>
      </c>
      <c r="C162" s="20" t="s">
        <v>113</v>
      </c>
      <c r="D162" s="20" t="s">
        <v>114</v>
      </c>
      <c r="E162" s="20" t="s">
        <v>115</v>
      </c>
      <c r="F162" s="21"/>
      <c r="G162" s="12" t="s">
        <v>112</v>
      </c>
      <c r="H162" s="12" t="s">
        <v>0</v>
      </c>
      <c r="I162" s="12" t="s">
        <v>113</v>
      </c>
      <c r="J162" s="12" t="s">
        <v>114</v>
      </c>
      <c r="K162" s="12" t="s">
        <v>115</v>
      </c>
      <c r="L162" s="131"/>
      <c r="M162" s="8"/>
      <c r="N162" s="22" t="s">
        <v>116</v>
      </c>
      <c r="O162" s="23" t="s">
        <v>106</v>
      </c>
      <c r="P162" s="1">
        <v>302.89999999999998</v>
      </c>
    </row>
    <row r="163" spans="1:16" ht="15.75" hidden="1">
      <c r="A163" s="28">
        <v>1</v>
      </c>
      <c r="B163" s="25" t="s">
        <v>1</v>
      </c>
      <c r="C163" s="26" t="s">
        <v>119</v>
      </c>
      <c r="D163" s="32">
        <v>-4103.2700000000004</v>
      </c>
      <c r="E163" s="30">
        <f>D163</f>
        <v>-4103.2700000000004</v>
      </c>
      <c r="F163" s="8"/>
      <c r="G163" s="31">
        <v>1</v>
      </c>
      <c r="H163" s="25" t="s">
        <v>1</v>
      </c>
      <c r="I163" s="26" t="s">
        <v>119</v>
      </c>
      <c r="J163" s="32">
        <v>-4409.34</v>
      </c>
      <c r="K163" s="30">
        <f>J163</f>
        <v>-4409.34</v>
      </c>
      <c r="L163" s="33">
        <f t="shared" ref="L163:L226" si="13">J163-D163</f>
        <v>-306.07</v>
      </c>
      <c r="M163" s="8"/>
      <c r="N163" s="8" t="s">
        <v>120</v>
      </c>
      <c r="O163" s="23" t="s">
        <v>106</v>
      </c>
      <c r="P163" s="1">
        <v>-2372.4</v>
      </c>
    </row>
    <row r="164" spans="1:16" ht="15.75" hidden="1">
      <c r="A164" s="28">
        <v>2</v>
      </c>
      <c r="B164" s="14" t="s">
        <v>2</v>
      </c>
      <c r="C164" s="15" t="s">
        <v>119</v>
      </c>
      <c r="D164" s="39">
        <v>-1866.5</v>
      </c>
      <c r="E164" s="33">
        <f>E163+D164</f>
        <v>-5969.77</v>
      </c>
      <c r="F164" s="8"/>
      <c r="G164" s="38">
        <v>2</v>
      </c>
      <c r="H164" s="14" t="s">
        <v>2</v>
      </c>
      <c r="I164" s="15" t="s">
        <v>119</v>
      </c>
      <c r="J164" s="39">
        <v>-1835.2</v>
      </c>
      <c r="K164" s="33">
        <f>K163+J164</f>
        <v>-6244.54</v>
      </c>
      <c r="L164" s="33">
        <f t="shared" si="13"/>
        <v>31.3</v>
      </c>
    </row>
    <row r="165" spans="1:16" ht="15.75" hidden="1">
      <c r="A165" s="28">
        <v>3</v>
      </c>
      <c r="B165" s="14" t="s">
        <v>3</v>
      </c>
      <c r="C165" s="15" t="s">
        <v>119</v>
      </c>
      <c r="D165" s="39">
        <v>-453.95</v>
      </c>
      <c r="E165" s="33">
        <f t="shared" ref="E165:E228" si="14">E164+D165</f>
        <v>-6423.72</v>
      </c>
      <c r="F165" s="8"/>
      <c r="G165" s="38">
        <v>3</v>
      </c>
      <c r="H165" s="14" t="s">
        <v>3</v>
      </c>
      <c r="I165" s="15" t="s">
        <v>119</v>
      </c>
      <c r="J165" s="39">
        <v>-546.96</v>
      </c>
      <c r="K165" s="33">
        <f t="shared" ref="K165:K228" si="15">K164+J165</f>
        <v>-6791.5</v>
      </c>
      <c r="L165" s="33">
        <f t="shared" si="13"/>
        <v>-93.01</v>
      </c>
    </row>
    <row r="166" spans="1:16" ht="15.75" hidden="1">
      <c r="A166" s="28">
        <v>4</v>
      </c>
      <c r="B166" s="14" t="s">
        <v>4</v>
      </c>
      <c r="C166" s="15" t="s">
        <v>119</v>
      </c>
      <c r="D166" s="39">
        <v>-11583.76</v>
      </c>
      <c r="E166" s="33">
        <f t="shared" si="14"/>
        <v>-18007.48</v>
      </c>
      <c r="F166" s="8"/>
      <c r="G166" s="38">
        <v>4</v>
      </c>
      <c r="H166" s="14" t="s">
        <v>4</v>
      </c>
      <c r="I166" s="15" t="s">
        <v>119</v>
      </c>
      <c r="J166" s="39">
        <v>-11510.96</v>
      </c>
      <c r="K166" s="33">
        <f t="shared" si="15"/>
        <v>-18302.46</v>
      </c>
      <c r="L166" s="33">
        <f t="shared" si="13"/>
        <v>72.800000000001106</v>
      </c>
    </row>
    <row r="167" spans="1:16" ht="15.75" hidden="1">
      <c r="A167" s="28">
        <v>5</v>
      </c>
      <c r="B167" s="14" t="s">
        <v>5</v>
      </c>
      <c r="C167" s="15" t="s">
        <v>119</v>
      </c>
      <c r="D167" s="39"/>
      <c r="E167" s="33">
        <f t="shared" si="14"/>
        <v>-18007.48</v>
      </c>
      <c r="F167" s="8"/>
      <c r="G167" s="38">
        <v>5</v>
      </c>
      <c r="H167" s="14" t="s">
        <v>5</v>
      </c>
      <c r="I167" s="15" t="s">
        <v>119</v>
      </c>
      <c r="J167" s="39"/>
      <c r="K167" s="33">
        <f t="shared" si="15"/>
        <v>-18302.46</v>
      </c>
      <c r="L167" s="33"/>
    </row>
    <row r="168" spans="1:16" ht="15.75" hidden="1">
      <c r="A168" s="28">
        <v>6</v>
      </c>
      <c r="B168" s="14" t="s">
        <v>6</v>
      </c>
      <c r="C168" s="15" t="s">
        <v>119</v>
      </c>
      <c r="D168" s="39">
        <v>-2967.06</v>
      </c>
      <c r="E168" s="33">
        <f t="shared" si="14"/>
        <v>-20974.54</v>
      </c>
      <c r="F168" s="8"/>
      <c r="G168" s="38">
        <v>6</v>
      </c>
      <c r="H168" s="14" t="s">
        <v>6</v>
      </c>
      <c r="I168" s="15" t="s">
        <v>119</v>
      </c>
      <c r="J168" s="39">
        <v>-2553.86</v>
      </c>
      <c r="K168" s="33">
        <f t="shared" si="15"/>
        <v>-20856.32</v>
      </c>
      <c r="L168" s="33">
        <f t="shared" si="13"/>
        <v>413.2</v>
      </c>
    </row>
    <row r="169" spans="1:16" ht="15.75" hidden="1">
      <c r="A169" s="28">
        <v>7</v>
      </c>
      <c r="B169" s="14" t="s">
        <v>7</v>
      </c>
      <c r="C169" s="15" t="s">
        <v>119</v>
      </c>
      <c r="D169" s="39">
        <v>-258.10000000000002</v>
      </c>
      <c r="E169" s="33">
        <f t="shared" si="14"/>
        <v>-21232.639999999999</v>
      </c>
      <c r="F169" s="8"/>
      <c r="G169" s="38">
        <v>7</v>
      </c>
      <c r="H169" s="14" t="s">
        <v>7</v>
      </c>
      <c r="I169" s="15" t="s">
        <v>119</v>
      </c>
      <c r="J169" s="39">
        <v>-231.3</v>
      </c>
      <c r="K169" s="33">
        <f t="shared" si="15"/>
        <v>-21087.62</v>
      </c>
      <c r="L169" s="33">
        <f t="shared" si="13"/>
        <v>26.8</v>
      </c>
    </row>
    <row r="170" spans="1:16" ht="15.75" hidden="1">
      <c r="A170" s="28">
        <v>8</v>
      </c>
      <c r="B170" s="14" t="s">
        <v>8</v>
      </c>
      <c r="C170" s="15" t="s">
        <v>119</v>
      </c>
      <c r="D170" s="39"/>
      <c r="E170" s="33">
        <f t="shared" si="14"/>
        <v>-21232.639999999999</v>
      </c>
      <c r="F170" s="8"/>
      <c r="G170" s="38">
        <v>8</v>
      </c>
      <c r="H170" s="14" t="s">
        <v>8</v>
      </c>
      <c r="I170" s="15" t="s">
        <v>119</v>
      </c>
      <c r="J170" s="39"/>
      <c r="K170" s="33">
        <f t="shared" si="15"/>
        <v>-21087.62</v>
      </c>
      <c r="L170" s="33"/>
    </row>
    <row r="171" spans="1:16" ht="15.75" hidden="1">
      <c r="A171" s="28">
        <v>9</v>
      </c>
      <c r="B171" s="14" t="s">
        <v>9</v>
      </c>
      <c r="C171" s="15" t="s">
        <v>119</v>
      </c>
      <c r="D171" s="39">
        <v>-3302.2</v>
      </c>
      <c r="E171" s="33">
        <f t="shared" si="14"/>
        <v>-24534.84</v>
      </c>
      <c r="F171" s="8"/>
      <c r="G171" s="38">
        <v>9</v>
      </c>
      <c r="H171" s="14" t="s">
        <v>9</v>
      </c>
      <c r="I171" s="15" t="s">
        <v>119</v>
      </c>
      <c r="J171" s="39">
        <v>-3182.4</v>
      </c>
      <c r="K171" s="33">
        <f t="shared" si="15"/>
        <v>-24270.02</v>
      </c>
      <c r="L171" s="33">
        <f t="shared" si="13"/>
        <v>119.8</v>
      </c>
    </row>
    <row r="172" spans="1:16" ht="15.75" hidden="1">
      <c r="A172" s="28">
        <v>10</v>
      </c>
      <c r="B172" s="14" t="s">
        <v>10</v>
      </c>
      <c r="C172" s="15" t="s">
        <v>119</v>
      </c>
      <c r="D172" s="39">
        <v>-619.5</v>
      </c>
      <c r="E172" s="33">
        <f t="shared" si="14"/>
        <v>-25154.34</v>
      </c>
      <c r="F172" s="8"/>
      <c r="G172" s="38">
        <v>10</v>
      </c>
      <c r="H172" s="14" t="s">
        <v>10</v>
      </c>
      <c r="I172" s="15" t="s">
        <v>119</v>
      </c>
      <c r="J172" s="39">
        <v>-722.3</v>
      </c>
      <c r="K172" s="33">
        <f t="shared" si="15"/>
        <v>-24992.32</v>
      </c>
      <c r="L172" s="33">
        <f t="shared" si="13"/>
        <v>-102.8</v>
      </c>
    </row>
    <row r="173" spans="1:16" ht="15.75" hidden="1">
      <c r="A173" s="28">
        <v>11</v>
      </c>
      <c r="B173" s="43" t="s">
        <v>11</v>
      </c>
      <c r="C173" s="23" t="s">
        <v>119</v>
      </c>
      <c r="D173" s="39"/>
      <c r="E173" s="44">
        <f t="shared" si="14"/>
        <v>-25154.34</v>
      </c>
      <c r="F173" s="8"/>
      <c r="G173" s="38">
        <v>11</v>
      </c>
      <c r="H173" s="43" t="s">
        <v>11</v>
      </c>
      <c r="I173" s="23" t="s">
        <v>119</v>
      </c>
      <c r="J173" s="39"/>
      <c r="K173" s="33">
        <f t="shared" si="15"/>
        <v>-24992.32</v>
      </c>
      <c r="L173" s="33"/>
    </row>
    <row r="174" spans="1:16" ht="15.75" hidden="1">
      <c r="A174" s="28">
        <v>12</v>
      </c>
      <c r="B174" s="25" t="s">
        <v>12</v>
      </c>
      <c r="C174" s="26" t="s">
        <v>123</v>
      </c>
      <c r="D174" s="39">
        <v>-24373.599999999999</v>
      </c>
      <c r="E174" s="30">
        <f t="shared" si="14"/>
        <v>-49527.94</v>
      </c>
      <c r="F174" s="8"/>
      <c r="G174" s="38">
        <v>12</v>
      </c>
      <c r="H174" s="25" t="s">
        <v>12</v>
      </c>
      <c r="I174" s="26" t="s">
        <v>123</v>
      </c>
      <c r="J174" s="39">
        <v>-24412.5</v>
      </c>
      <c r="K174" s="33">
        <f t="shared" si="15"/>
        <v>-49404.82</v>
      </c>
      <c r="L174" s="33">
        <f t="shared" si="13"/>
        <v>-38.900000000001498</v>
      </c>
    </row>
    <row r="175" spans="1:16" ht="15.75" hidden="1">
      <c r="A175" s="28">
        <v>13</v>
      </c>
      <c r="B175" s="14" t="s">
        <v>13</v>
      </c>
      <c r="C175" s="15" t="s">
        <v>123</v>
      </c>
      <c r="D175" s="39">
        <v>-5634.9</v>
      </c>
      <c r="E175" s="33">
        <f t="shared" si="14"/>
        <v>-55162.84</v>
      </c>
      <c r="F175" s="8"/>
      <c r="G175" s="38">
        <v>13</v>
      </c>
      <c r="H175" s="14" t="s">
        <v>13</v>
      </c>
      <c r="I175" s="15" t="s">
        <v>123</v>
      </c>
      <c r="J175" s="39">
        <v>-5464.7</v>
      </c>
      <c r="K175" s="33">
        <f t="shared" si="15"/>
        <v>-54869.52</v>
      </c>
      <c r="L175" s="33">
        <f t="shared" si="13"/>
        <v>170.2</v>
      </c>
    </row>
    <row r="176" spans="1:16" ht="15.75" hidden="1">
      <c r="A176" s="28">
        <v>14</v>
      </c>
      <c r="B176" s="14" t="s">
        <v>14</v>
      </c>
      <c r="C176" s="15" t="s">
        <v>123</v>
      </c>
      <c r="D176" s="39">
        <v>-1933.1</v>
      </c>
      <c r="E176" s="33">
        <f t="shared" si="14"/>
        <v>-57095.94</v>
      </c>
      <c r="F176" s="8"/>
      <c r="G176" s="38">
        <v>14</v>
      </c>
      <c r="H176" s="14" t="s">
        <v>14</v>
      </c>
      <c r="I176" s="15" t="s">
        <v>123</v>
      </c>
      <c r="J176" s="39">
        <v>-2390.6999999999998</v>
      </c>
      <c r="K176" s="33">
        <f t="shared" si="15"/>
        <v>-57260.22</v>
      </c>
      <c r="L176" s="33">
        <f t="shared" si="13"/>
        <v>-457.6</v>
      </c>
    </row>
    <row r="177" spans="1:12" ht="15.75" hidden="1">
      <c r="A177" s="28">
        <v>15</v>
      </c>
      <c r="B177" s="14" t="s">
        <v>15</v>
      </c>
      <c r="C177" s="15" t="s">
        <v>123</v>
      </c>
      <c r="D177" s="39">
        <v>-39686.699999999997</v>
      </c>
      <c r="E177" s="33">
        <f t="shared" si="14"/>
        <v>-96782.64</v>
      </c>
      <c r="F177" s="8"/>
      <c r="G177" s="38">
        <v>15</v>
      </c>
      <c r="H177" s="14" t="s">
        <v>15</v>
      </c>
      <c r="I177" s="15" t="s">
        <v>123</v>
      </c>
      <c r="J177" s="39">
        <v>-39747.300000000003</v>
      </c>
      <c r="K177" s="33">
        <f t="shared" si="15"/>
        <v>-97007.52</v>
      </c>
      <c r="L177" s="33">
        <f t="shared" si="13"/>
        <v>-60.600000000005799</v>
      </c>
    </row>
    <row r="178" spans="1:12" ht="15.75" hidden="1">
      <c r="A178" s="28">
        <v>16</v>
      </c>
      <c r="B178" s="14" t="s">
        <v>16</v>
      </c>
      <c r="C178" s="15" t="s">
        <v>123</v>
      </c>
      <c r="D178" s="39">
        <v>-5332.21</v>
      </c>
      <c r="E178" s="33">
        <f t="shared" si="14"/>
        <v>-102114.85</v>
      </c>
      <c r="F178" s="8"/>
      <c r="G178" s="38">
        <v>16</v>
      </c>
      <c r="H178" s="14" t="s">
        <v>16</v>
      </c>
      <c r="I178" s="15" t="s">
        <v>123</v>
      </c>
      <c r="J178" s="39">
        <v>-5388.91</v>
      </c>
      <c r="K178" s="33">
        <f t="shared" si="15"/>
        <v>-102396.43</v>
      </c>
      <c r="L178" s="33">
        <f t="shared" si="13"/>
        <v>-56.699999999999797</v>
      </c>
    </row>
    <row r="179" spans="1:12" ht="15.75" hidden="1">
      <c r="A179" s="28">
        <v>17</v>
      </c>
      <c r="B179" s="14" t="s">
        <v>17</v>
      </c>
      <c r="C179" s="15" t="s">
        <v>123</v>
      </c>
      <c r="D179" s="39"/>
      <c r="E179" s="33">
        <f t="shared" si="14"/>
        <v>-102114.85</v>
      </c>
      <c r="F179" s="8"/>
      <c r="G179" s="38">
        <v>17</v>
      </c>
      <c r="H179" s="14" t="s">
        <v>17</v>
      </c>
      <c r="I179" s="15" t="s">
        <v>123</v>
      </c>
      <c r="J179" s="39"/>
      <c r="K179" s="33">
        <f t="shared" si="15"/>
        <v>-102396.43</v>
      </c>
      <c r="L179" s="33"/>
    </row>
    <row r="180" spans="1:12" ht="15.75" hidden="1">
      <c r="A180" s="28">
        <v>18</v>
      </c>
      <c r="B180" s="45" t="s">
        <v>125</v>
      </c>
      <c r="C180" s="46" t="s">
        <v>123</v>
      </c>
      <c r="D180" s="39">
        <v>-29759.3</v>
      </c>
      <c r="E180" s="33">
        <f t="shared" si="14"/>
        <v>-131874.15</v>
      </c>
      <c r="F180" s="8"/>
      <c r="G180" s="38">
        <v>18</v>
      </c>
      <c r="H180" s="45" t="s">
        <v>124</v>
      </c>
      <c r="I180" s="46" t="s">
        <v>123</v>
      </c>
      <c r="J180" s="39">
        <v>-29777.4</v>
      </c>
      <c r="K180" s="33">
        <f t="shared" si="15"/>
        <v>-132173.82999999999</v>
      </c>
      <c r="L180" s="33">
        <f t="shared" si="13"/>
        <v>-18.100000000002201</v>
      </c>
    </row>
    <row r="181" spans="1:12" ht="15.75" hidden="1">
      <c r="A181" s="28">
        <v>19</v>
      </c>
      <c r="B181" s="45" t="s">
        <v>19</v>
      </c>
      <c r="C181" s="46" t="s">
        <v>123</v>
      </c>
      <c r="D181" s="39">
        <v>-28214.09</v>
      </c>
      <c r="E181" s="33">
        <f t="shared" si="14"/>
        <v>-160088.24</v>
      </c>
      <c r="F181" s="8"/>
      <c r="G181" s="38">
        <v>19</v>
      </c>
      <c r="H181" s="14" t="s">
        <v>19</v>
      </c>
      <c r="I181" s="15" t="s">
        <v>123</v>
      </c>
      <c r="J181" s="39">
        <v>-28162.89</v>
      </c>
      <c r="K181" s="33">
        <f t="shared" si="15"/>
        <v>-160336.72</v>
      </c>
      <c r="L181" s="33">
        <f t="shared" si="13"/>
        <v>51.200000000000699</v>
      </c>
    </row>
    <row r="182" spans="1:12" ht="15.75" hidden="1">
      <c r="A182" s="28">
        <v>20</v>
      </c>
      <c r="B182" s="14" t="s">
        <v>20</v>
      </c>
      <c r="C182" s="15" t="s">
        <v>123</v>
      </c>
      <c r="D182" s="39">
        <v>-6522.16</v>
      </c>
      <c r="E182" s="33">
        <f t="shared" si="14"/>
        <v>-166610.4</v>
      </c>
      <c r="F182" s="8"/>
      <c r="G182" s="38">
        <v>20</v>
      </c>
      <c r="H182" s="14" t="s">
        <v>20</v>
      </c>
      <c r="I182" s="15" t="s">
        <v>123</v>
      </c>
      <c r="J182" s="39">
        <v>-6778.76</v>
      </c>
      <c r="K182" s="33">
        <f t="shared" si="15"/>
        <v>-167115.48000000001</v>
      </c>
      <c r="L182" s="33">
        <f t="shared" si="13"/>
        <v>-256.60000000000002</v>
      </c>
    </row>
    <row r="183" spans="1:12" ht="15.75" hidden="1">
      <c r="A183" s="28">
        <v>21</v>
      </c>
      <c r="B183" s="43" t="s">
        <v>21</v>
      </c>
      <c r="C183" s="23" t="s">
        <v>123</v>
      </c>
      <c r="D183" s="39">
        <v>-7990.88</v>
      </c>
      <c r="E183" s="44">
        <f t="shared" si="14"/>
        <v>-174601.28</v>
      </c>
      <c r="F183" s="8"/>
      <c r="G183" s="38">
        <v>21</v>
      </c>
      <c r="H183" s="43" t="s">
        <v>21</v>
      </c>
      <c r="I183" s="23" t="s">
        <v>123</v>
      </c>
      <c r="J183" s="39">
        <v>-8425.7999999999993</v>
      </c>
      <c r="K183" s="33">
        <f t="shared" si="15"/>
        <v>-175541.28</v>
      </c>
      <c r="L183" s="33">
        <f t="shared" si="13"/>
        <v>-434.91999999999899</v>
      </c>
    </row>
    <row r="184" spans="1:12" ht="15.75" hidden="1">
      <c r="A184" s="28">
        <v>22</v>
      </c>
      <c r="B184" s="25" t="s">
        <v>22</v>
      </c>
      <c r="C184" s="26" t="s">
        <v>126</v>
      </c>
      <c r="D184" s="39"/>
      <c r="E184" s="30">
        <f t="shared" si="14"/>
        <v>-174601.28</v>
      </c>
      <c r="F184" s="8"/>
      <c r="G184" s="38">
        <v>22</v>
      </c>
      <c r="H184" s="25" t="s">
        <v>22</v>
      </c>
      <c r="I184" s="26" t="s">
        <v>126</v>
      </c>
      <c r="J184" s="39"/>
      <c r="K184" s="33">
        <f t="shared" si="15"/>
        <v>-175541.28</v>
      </c>
      <c r="L184" s="33"/>
    </row>
    <row r="185" spans="1:12" ht="15.75" hidden="1">
      <c r="A185" s="28">
        <v>23</v>
      </c>
      <c r="B185" s="14" t="s">
        <v>23</v>
      </c>
      <c r="C185" s="15" t="s">
        <v>126</v>
      </c>
      <c r="D185" s="39">
        <v>-5434.45</v>
      </c>
      <c r="E185" s="33">
        <f t="shared" si="14"/>
        <v>-180035.73</v>
      </c>
      <c r="F185" s="8"/>
      <c r="G185" s="38">
        <v>23</v>
      </c>
      <c r="H185" s="14" t="s">
        <v>23</v>
      </c>
      <c r="I185" s="15" t="s">
        <v>126</v>
      </c>
      <c r="J185" s="39">
        <v>-3820.65</v>
      </c>
      <c r="K185" s="33">
        <f t="shared" si="15"/>
        <v>-179361.93</v>
      </c>
      <c r="L185" s="33">
        <f t="shared" si="13"/>
        <v>1613.8</v>
      </c>
    </row>
    <row r="186" spans="1:12" ht="15.75" hidden="1">
      <c r="A186" s="28">
        <v>24</v>
      </c>
      <c r="B186" s="14" t="s">
        <v>24</v>
      </c>
      <c r="C186" s="15" t="s">
        <v>126</v>
      </c>
      <c r="D186" s="39">
        <v>-457.45</v>
      </c>
      <c r="E186" s="33">
        <f t="shared" si="14"/>
        <v>-180493.18</v>
      </c>
      <c r="F186" s="8"/>
      <c r="G186" s="38">
        <v>24</v>
      </c>
      <c r="H186" s="14" t="s">
        <v>24</v>
      </c>
      <c r="I186" s="15" t="s">
        <v>126</v>
      </c>
      <c r="J186" s="39">
        <v>-564.25</v>
      </c>
      <c r="K186" s="33">
        <f t="shared" si="15"/>
        <v>-179926.18</v>
      </c>
      <c r="L186" s="33">
        <f t="shared" si="13"/>
        <v>-106.8</v>
      </c>
    </row>
    <row r="187" spans="1:12" ht="15.75" hidden="1">
      <c r="A187" s="28">
        <v>25</v>
      </c>
      <c r="B187" s="14" t="s">
        <v>128</v>
      </c>
      <c r="C187" s="15" t="s">
        <v>126</v>
      </c>
      <c r="D187" s="39"/>
      <c r="E187" s="33">
        <f t="shared" si="14"/>
        <v>-180493.18</v>
      </c>
      <c r="F187" s="8"/>
      <c r="G187" s="38">
        <v>25</v>
      </c>
      <c r="H187" s="14" t="s">
        <v>128</v>
      </c>
      <c r="I187" s="15" t="s">
        <v>126</v>
      </c>
      <c r="J187" s="39"/>
      <c r="K187" s="33">
        <f t="shared" si="15"/>
        <v>-179926.18</v>
      </c>
      <c r="L187" s="33"/>
    </row>
    <row r="188" spans="1:12" ht="15.75" hidden="1">
      <c r="A188" s="28">
        <v>26</v>
      </c>
      <c r="B188" s="47" t="s">
        <v>127</v>
      </c>
      <c r="C188" s="15" t="s">
        <v>126</v>
      </c>
      <c r="D188" s="39"/>
      <c r="E188" s="33">
        <f t="shared" si="14"/>
        <v>-180493.18</v>
      </c>
      <c r="F188" s="8"/>
      <c r="G188" s="38">
        <v>26</v>
      </c>
      <c r="H188" s="47" t="s">
        <v>127</v>
      </c>
      <c r="I188" s="15" t="s">
        <v>126</v>
      </c>
      <c r="J188" s="39"/>
      <c r="K188" s="33">
        <f t="shared" si="15"/>
        <v>-179926.18</v>
      </c>
      <c r="L188" s="33"/>
    </row>
    <row r="189" spans="1:12" ht="15.75" hidden="1">
      <c r="A189" s="28">
        <v>27</v>
      </c>
      <c r="B189" s="14" t="s">
        <v>27</v>
      </c>
      <c r="C189" s="15" t="s">
        <v>126</v>
      </c>
      <c r="D189" s="39">
        <v>-746.41</v>
      </c>
      <c r="E189" s="33">
        <f t="shared" si="14"/>
        <v>-181239.59</v>
      </c>
      <c r="F189" s="8"/>
      <c r="G189" s="38">
        <v>27</v>
      </c>
      <c r="H189" s="14" t="s">
        <v>27</v>
      </c>
      <c r="I189" s="15" t="s">
        <v>126</v>
      </c>
      <c r="J189" s="39">
        <v>-1147.9100000000001</v>
      </c>
      <c r="K189" s="33">
        <f t="shared" si="15"/>
        <v>-181074.09</v>
      </c>
      <c r="L189" s="33">
        <f t="shared" si="13"/>
        <v>-401.5</v>
      </c>
    </row>
    <row r="190" spans="1:12" ht="15.75" hidden="1">
      <c r="A190" s="28">
        <v>28</v>
      </c>
      <c r="B190" s="43" t="s">
        <v>28</v>
      </c>
      <c r="C190" s="23" t="s">
        <v>126</v>
      </c>
      <c r="D190" s="39">
        <v>-2629.64</v>
      </c>
      <c r="E190" s="33">
        <f t="shared" si="14"/>
        <v>-183869.23</v>
      </c>
      <c r="F190" s="8"/>
      <c r="G190" s="38">
        <v>28</v>
      </c>
      <c r="H190" s="14" t="s">
        <v>28</v>
      </c>
      <c r="I190" s="15" t="s">
        <v>126</v>
      </c>
      <c r="J190" s="39">
        <v>-807.14</v>
      </c>
      <c r="K190" s="33">
        <f t="shared" si="15"/>
        <v>-181881.23</v>
      </c>
      <c r="L190" s="33">
        <f t="shared" si="13"/>
        <v>1822.5</v>
      </c>
    </row>
    <row r="191" spans="1:12" ht="15.75" hidden="1">
      <c r="A191" s="28">
        <v>29</v>
      </c>
      <c r="B191" s="25" t="s">
        <v>29</v>
      </c>
      <c r="C191" s="26" t="s">
        <v>129</v>
      </c>
      <c r="D191" s="39"/>
      <c r="E191" s="30">
        <f t="shared" si="14"/>
        <v>-183869.23</v>
      </c>
      <c r="F191" s="8"/>
      <c r="G191" s="38">
        <v>29</v>
      </c>
      <c r="H191" s="25" t="s">
        <v>29</v>
      </c>
      <c r="I191" s="26" t="s">
        <v>129</v>
      </c>
      <c r="J191" s="39"/>
      <c r="K191" s="33">
        <f t="shared" si="15"/>
        <v>-181881.23</v>
      </c>
      <c r="L191" s="33"/>
    </row>
    <row r="192" spans="1:12" ht="15.75" hidden="1">
      <c r="A192" s="28">
        <f t="shared" ref="A192:A255" si="16">A191+1</f>
        <v>30</v>
      </c>
      <c r="B192" s="14" t="s">
        <v>30</v>
      </c>
      <c r="C192" s="15" t="s">
        <v>129</v>
      </c>
      <c r="D192" s="39"/>
      <c r="E192" s="33">
        <f t="shared" si="14"/>
        <v>-183869.23</v>
      </c>
      <c r="F192" s="8"/>
      <c r="G192" s="38">
        <f t="shared" ref="G192:G255" si="17">G191+1</f>
        <v>30</v>
      </c>
      <c r="H192" s="14" t="s">
        <v>30</v>
      </c>
      <c r="I192" s="15" t="s">
        <v>129</v>
      </c>
      <c r="J192" s="39"/>
      <c r="K192" s="33">
        <f t="shared" si="15"/>
        <v>-181881.23</v>
      </c>
      <c r="L192" s="33"/>
    </row>
    <row r="193" spans="1:12" ht="15.75" hidden="1">
      <c r="A193" s="28">
        <f t="shared" si="16"/>
        <v>31</v>
      </c>
      <c r="B193" s="14" t="s">
        <v>31</v>
      </c>
      <c r="C193" s="15" t="s">
        <v>129</v>
      </c>
      <c r="D193" s="39">
        <v>-1791.3</v>
      </c>
      <c r="E193" s="33">
        <f t="shared" si="14"/>
        <v>-185660.53</v>
      </c>
      <c r="F193" s="8"/>
      <c r="G193" s="38">
        <f t="shared" si="17"/>
        <v>31</v>
      </c>
      <c r="H193" s="14" t="s">
        <v>31</v>
      </c>
      <c r="I193" s="15" t="s">
        <v>129</v>
      </c>
      <c r="J193" s="39">
        <v>-1594.7</v>
      </c>
      <c r="K193" s="33">
        <f t="shared" si="15"/>
        <v>-183475.93</v>
      </c>
      <c r="L193" s="33">
        <f t="shared" si="13"/>
        <v>196.6</v>
      </c>
    </row>
    <row r="194" spans="1:12" ht="15.75" hidden="1">
      <c r="A194" s="28">
        <f t="shared" si="16"/>
        <v>32</v>
      </c>
      <c r="B194" s="14" t="s">
        <v>32</v>
      </c>
      <c r="C194" s="15" t="s">
        <v>129</v>
      </c>
      <c r="D194" s="39"/>
      <c r="E194" s="33">
        <f t="shared" si="14"/>
        <v>-185660.53</v>
      </c>
      <c r="F194" s="8"/>
      <c r="G194" s="38">
        <f t="shared" si="17"/>
        <v>32</v>
      </c>
      <c r="H194" s="14" t="s">
        <v>32</v>
      </c>
      <c r="I194" s="15" t="s">
        <v>129</v>
      </c>
      <c r="J194" s="39"/>
      <c r="K194" s="33">
        <f t="shared" si="15"/>
        <v>-183475.93</v>
      </c>
      <c r="L194" s="33"/>
    </row>
    <row r="195" spans="1:12" ht="15.75" hidden="1">
      <c r="A195" s="28">
        <f t="shared" si="16"/>
        <v>33</v>
      </c>
      <c r="B195" s="14" t="s">
        <v>33</v>
      </c>
      <c r="C195" s="15" t="s">
        <v>129</v>
      </c>
      <c r="D195" s="39"/>
      <c r="E195" s="33">
        <f t="shared" si="14"/>
        <v>-185660.53</v>
      </c>
      <c r="F195" s="8"/>
      <c r="G195" s="38">
        <f t="shared" si="17"/>
        <v>33</v>
      </c>
      <c r="H195" s="14" t="s">
        <v>33</v>
      </c>
      <c r="I195" s="15" t="s">
        <v>129</v>
      </c>
      <c r="J195" s="39"/>
      <c r="K195" s="33">
        <f t="shared" si="15"/>
        <v>-183475.93</v>
      </c>
      <c r="L195" s="33"/>
    </row>
    <row r="196" spans="1:12" ht="15.75" hidden="1">
      <c r="A196" s="28">
        <f t="shared" si="16"/>
        <v>34</v>
      </c>
      <c r="B196" s="14" t="s">
        <v>34</v>
      </c>
      <c r="C196" s="15" t="s">
        <v>129</v>
      </c>
      <c r="D196" s="39">
        <v>-9004.83</v>
      </c>
      <c r="E196" s="33">
        <f t="shared" si="14"/>
        <v>-194665.36</v>
      </c>
      <c r="F196" s="8"/>
      <c r="G196" s="38">
        <f t="shared" si="17"/>
        <v>34</v>
      </c>
      <c r="H196" s="14" t="s">
        <v>34</v>
      </c>
      <c r="I196" s="15" t="s">
        <v>129</v>
      </c>
      <c r="J196" s="39">
        <v>-9579.1299999999992</v>
      </c>
      <c r="K196" s="33">
        <f t="shared" si="15"/>
        <v>-193055.06</v>
      </c>
      <c r="L196" s="33">
        <f t="shared" si="13"/>
        <v>-574.29999999999905</v>
      </c>
    </row>
    <row r="197" spans="1:12" ht="15.75" hidden="1">
      <c r="A197" s="28">
        <f t="shared" si="16"/>
        <v>35</v>
      </c>
      <c r="B197" s="14" t="s">
        <v>131</v>
      </c>
      <c r="C197" s="15" t="s">
        <v>129</v>
      </c>
      <c r="D197" s="39"/>
      <c r="E197" s="33">
        <f t="shared" si="14"/>
        <v>-194665.36</v>
      </c>
      <c r="F197" s="8"/>
      <c r="G197" s="38">
        <f t="shared" si="17"/>
        <v>35</v>
      </c>
      <c r="H197" s="14" t="s">
        <v>131</v>
      </c>
      <c r="I197" s="15" t="s">
        <v>129</v>
      </c>
      <c r="J197" s="39"/>
      <c r="K197" s="33">
        <f t="shared" si="15"/>
        <v>-193055.06</v>
      </c>
      <c r="L197" s="33"/>
    </row>
    <row r="198" spans="1:12" ht="15.75" hidden="1">
      <c r="A198" s="28">
        <f t="shared" si="16"/>
        <v>36</v>
      </c>
      <c r="B198" s="14" t="s">
        <v>36</v>
      </c>
      <c r="C198" s="15" t="s">
        <v>129</v>
      </c>
      <c r="D198" s="39">
        <v>-4120.53</v>
      </c>
      <c r="E198" s="33">
        <f t="shared" si="14"/>
        <v>-198785.89</v>
      </c>
      <c r="F198" s="8"/>
      <c r="G198" s="38">
        <f t="shared" si="17"/>
        <v>36</v>
      </c>
      <c r="H198" s="14" t="s">
        <v>36</v>
      </c>
      <c r="I198" s="15" t="s">
        <v>129</v>
      </c>
      <c r="J198" s="39">
        <v>-4136.63</v>
      </c>
      <c r="K198" s="33">
        <f t="shared" si="15"/>
        <v>-197191.69</v>
      </c>
      <c r="L198" s="33">
        <f t="shared" si="13"/>
        <v>-16.100000000000399</v>
      </c>
    </row>
    <row r="199" spans="1:12" ht="15.75" hidden="1">
      <c r="A199" s="28">
        <f t="shared" si="16"/>
        <v>37</v>
      </c>
      <c r="B199" s="14" t="s">
        <v>37</v>
      </c>
      <c r="C199" s="15" t="s">
        <v>129</v>
      </c>
      <c r="D199" s="39">
        <v>-12859.03</v>
      </c>
      <c r="E199" s="33">
        <f t="shared" si="14"/>
        <v>-211644.92</v>
      </c>
      <c r="F199" s="8"/>
      <c r="G199" s="38">
        <f t="shared" si="17"/>
        <v>37</v>
      </c>
      <c r="H199" s="14" t="s">
        <v>37</v>
      </c>
      <c r="I199" s="15" t="s">
        <v>129</v>
      </c>
      <c r="J199" s="39">
        <v>-12284.43</v>
      </c>
      <c r="K199" s="33">
        <f t="shared" si="15"/>
        <v>-209476.12</v>
      </c>
      <c r="L199" s="33">
        <f t="shared" si="13"/>
        <v>574.6</v>
      </c>
    </row>
    <row r="200" spans="1:12" ht="15.75" hidden="1">
      <c r="A200" s="28">
        <f t="shared" si="16"/>
        <v>38</v>
      </c>
      <c r="B200" s="43" t="s">
        <v>38</v>
      </c>
      <c r="C200" s="23" t="s">
        <v>130</v>
      </c>
      <c r="D200" s="39">
        <v>-305.3</v>
      </c>
      <c r="E200" s="44">
        <f t="shared" si="14"/>
        <v>-211950.22</v>
      </c>
      <c r="F200" s="8"/>
      <c r="G200" s="38">
        <f t="shared" si="17"/>
        <v>38</v>
      </c>
      <c r="H200" s="43" t="s">
        <v>38</v>
      </c>
      <c r="I200" s="23" t="s">
        <v>130</v>
      </c>
      <c r="J200" s="39">
        <v>-294.2</v>
      </c>
      <c r="K200" s="33">
        <f t="shared" si="15"/>
        <v>-209770.32</v>
      </c>
      <c r="L200" s="33">
        <f t="shared" si="13"/>
        <v>11.1</v>
      </c>
    </row>
    <row r="201" spans="1:12" ht="15.75" hidden="1">
      <c r="A201" s="28">
        <f t="shared" si="16"/>
        <v>39</v>
      </c>
      <c r="B201" s="25" t="s">
        <v>39</v>
      </c>
      <c r="C201" s="26" t="s">
        <v>132</v>
      </c>
      <c r="D201" s="39"/>
      <c r="E201" s="30">
        <f t="shared" si="14"/>
        <v>-211950.22</v>
      </c>
      <c r="F201" s="8"/>
      <c r="G201" s="38">
        <f t="shared" si="17"/>
        <v>39</v>
      </c>
      <c r="H201" s="25" t="s">
        <v>39</v>
      </c>
      <c r="I201" s="26" t="s">
        <v>132</v>
      </c>
      <c r="J201" s="39"/>
      <c r="K201" s="33">
        <f t="shared" si="15"/>
        <v>-209770.32</v>
      </c>
      <c r="L201" s="33"/>
    </row>
    <row r="202" spans="1:12" ht="15.75" hidden="1">
      <c r="A202" s="28">
        <f t="shared" si="16"/>
        <v>40</v>
      </c>
      <c r="B202" s="14" t="s">
        <v>40</v>
      </c>
      <c r="C202" s="15" t="s">
        <v>132</v>
      </c>
      <c r="D202" s="39"/>
      <c r="E202" s="33">
        <f t="shared" si="14"/>
        <v>-211950.22</v>
      </c>
      <c r="F202" s="8"/>
      <c r="G202" s="38">
        <f t="shared" si="17"/>
        <v>40</v>
      </c>
      <c r="H202" s="14" t="s">
        <v>40</v>
      </c>
      <c r="I202" s="15" t="s">
        <v>132</v>
      </c>
      <c r="J202" s="39"/>
      <c r="K202" s="33">
        <f t="shared" si="15"/>
        <v>-209770.32</v>
      </c>
      <c r="L202" s="33"/>
    </row>
    <row r="203" spans="1:12" ht="15.75" hidden="1">
      <c r="A203" s="28">
        <f t="shared" si="16"/>
        <v>41</v>
      </c>
      <c r="B203" s="14" t="s">
        <v>41</v>
      </c>
      <c r="C203" s="15" t="s">
        <v>132</v>
      </c>
      <c r="D203" s="39">
        <v>-16344.34</v>
      </c>
      <c r="E203" s="33">
        <f t="shared" si="14"/>
        <v>-228294.56</v>
      </c>
      <c r="F203" s="8"/>
      <c r="G203" s="38">
        <f t="shared" si="17"/>
        <v>41</v>
      </c>
      <c r="H203" s="14" t="s">
        <v>41</v>
      </c>
      <c r="I203" s="15" t="s">
        <v>132</v>
      </c>
      <c r="J203" s="39">
        <v>-15962.04</v>
      </c>
      <c r="K203" s="33">
        <f t="shared" si="15"/>
        <v>-225732.36</v>
      </c>
      <c r="L203" s="33">
        <f t="shared" si="13"/>
        <v>382.29999999999899</v>
      </c>
    </row>
    <row r="204" spans="1:12" ht="15.75" hidden="1">
      <c r="A204" s="28">
        <f t="shared" si="16"/>
        <v>42</v>
      </c>
      <c r="B204" s="14" t="s">
        <v>42</v>
      </c>
      <c r="C204" s="15" t="s">
        <v>132</v>
      </c>
      <c r="D204" s="39">
        <v>-1339.46</v>
      </c>
      <c r="E204" s="33">
        <f t="shared" si="14"/>
        <v>-229634.02</v>
      </c>
      <c r="F204" s="8"/>
      <c r="G204" s="38">
        <f t="shared" si="17"/>
        <v>42</v>
      </c>
      <c r="H204" s="14" t="s">
        <v>42</v>
      </c>
      <c r="I204" s="15" t="s">
        <v>132</v>
      </c>
      <c r="J204" s="39">
        <v>-1981.66</v>
      </c>
      <c r="K204" s="33">
        <f t="shared" si="15"/>
        <v>-227714.02</v>
      </c>
      <c r="L204" s="33">
        <f t="shared" si="13"/>
        <v>-642.20000000000005</v>
      </c>
    </row>
    <row r="205" spans="1:12" ht="15.75" hidden="1">
      <c r="A205" s="28">
        <f t="shared" si="16"/>
        <v>43</v>
      </c>
      <c r="B205" s="14" t="s">
        <v>43</v>
      </c>
      <c r="C205" s="15" t="s">
        <v>132</v>
      </c>
      <c r="D205" s="39">
        <v>-248</v>
      </c>
      <c r="E205" s="33">
        <f t="shared" si="14"/>
        <v>-229882.02</v>
      </c>
      <c r="F205" s="8"/>
      <c r="G205" s="38">
        <f t="shared" si="17"/>
        <v>43</v>
      </c>
      <c r="H205" s="14" t="s">
        <v>43</v>
      </c>
      <c r="I205" s="15" t="s">
        <v>132</v>
      </c>
      <c r="J205" s="39">
        <v>-5.8</v>
      </c>
      <c r="K205" s="33">
        <f t="shared" si="15"/>
        <v>-227719.82</v>
      </c>
      <c r="L205" s="33">
        <f t="shared" si="13"/>
        <v>242.2</v>
      </c>
    </row>
    <row r="206" spans="1:12" ht="15.75" hidden="1">
      <c r="A206" s="28">
        <f t="shared" si="16"/>
        <v>44</v>
      </c>
      <c r="B206" s="14" t="s">
        <v>44</v>
      </c>
      <c r="C206" s="15" t="s">
        <v>132</v>
      </c>
      <c r="D206" s="39">
        <v>-3018.38</v>
      </c>
      <c r="E206" s="33">
        <f t="shared" si="14"/>
        <v>-232900.4</v>
      </c>
      <c r="F206" s="8"/>
      <c r="G206" s="38">
        <f t="shared" si="17"/>
        <v>44</v>
      </c>
      <c r="H206" s="14" t="s">
        <v>44</v>
      </c>
      <c r="I206" s="15" t="s">
        <v>132</v>
      </c>
      <c r="J206" s="39">
        <v>-3104.18</v>
      </c>
      <c r="K206" s="33">
        <f t="shared" si="15"/>
        <v>-230824</v>
      </c>
      <c r="L206" s="33">
        <f t="shared" si="13"/>
        <v>-85.799999999999699</v>
      </c>
    </row>
    <row r="207" spans="1:12" ht="15.75" hidden="1">
      <c r="A207" s="28">
        <f t="shared" si="16"/>
        <v>45</v>
      </c>
      <c r="B207" s="48" t="s">
        <v>45</v>
      </c>
      <c r="C207" s="49" t="s">
        <v>132</v>
      </c>
      <c r="D207" s="39"/>
      <c r="E207" s="33">
        <f t="shared" si="14"/>
        <v>-232900.4</v>
      </c>
      <c r="F207" s="8"/>
      <c r="G207" s="38">
        <f t="shared" si="17"/>
        <v>45</v>
      </c>
      <c r="H207" s="48" t="s">
        <v>45</v>
      </c>
      <c r="I207" s="49" t="s">
        <v>132</v>
      </c>
      <c r="J207" s="39"/>
      <c r="K207" s="33">
        <f t="shared" si="15"/>
        <v>-230824</v>
      </c>
      <c r="L207" s="33"/>
    </row>
    <row r="208" spans="1:12" ht="15.75" hidden="1">
      <c r="A208" s="28">
        <f t="shared" si="16"/>
        <v>46</v>
      </c>
      <c r="B208" s="50" t="s">
        <v>46</v>
      </c>
      <c r="C208" s="49" t="s">
        <v>132</v>
      </c>
      <c r="D208" s="39">
        <v>-18354.900000000001</v>
      </c>
      <c r="E208" s="33">
        <f t="shared" si="14"/>
        <v>-251255.3</v>
      </c>
      <c r="F208" s="8"/>
      <c r="G208" s="38">
        <f t="shared" si="17"/>
        <v>46</v>
      </c>
      <c r="H208" s="50" t="s">
        <v>46</v>
      </c>
      <c r="I208" s="49" t="s">
        <v>132</v>
      </c>
      <c r="J208" s="39">
        <v>-19109.8</v>
      </c>
      <c r="K208" s="33">
        <f t="shared" si="15"/>
        <v>-249933.8</v>
      </c>
      <c r="L208" s="33">
        <f t="shared" si="13"/>
        <v>-754.89999999999804</v>
      </c>
    </row>
    <row r="209" spans="1:12" ht="15.75" hidden="1">
      <c r="A209" s="28">
        <f t="shared" si="16"/>
        <v>47</v>
      </c>
      <c r="B209" s="14" t="s">
        <v>47</v>
      </c>
      <c r="C209" s="15" t="s">
        <v>132</v>
      </c>
      <c r="D209" s="39"/>
      <c r="E209" s="33">
        <f t="shared" si="14"/>
        <v>-251255.3</v>
      </c>
      <c r="F209" s="8"/>
      <c r="G209" s="38">
        <f t="shared" si="17"/>
        <v>47</v>
      </c>
      <c r="H209" s="14" t="s">
        <v>47</v>
      </c>
      <c r="I209" s="15" t="s">
        <v>132</v>
      </c>
      <c r="J209" s="39">
        <v>-166.97</v>
      </c>
      <c r="K209" s="33">
        <f t="shared" si="15"/>
        <v>-250100.77</v>
      </c>
      <c r="L209" s="33">
        <f t="shared" si="13"/>
        <v>-166.97</v>
      </c>
    </row>
    <row r="210" spans="1:12" ht="15.75" hidden="1">
      <c r="A210" s="28">
        <f t="shared" si="16"/>
        <v>48</v>
      </c>
      <c r="B210" s="14" t="s">
        <v>48</v>
      </c>
      <c r="C210" s="15" t="s">
        <v>132</v>
      </c>
      <c r="D210" s="39">
        <v>-903.12</v>
      </c>
      <c r="E210" s="33">
        <f t="shared" si="14"/>
        <v>-252158.42</v>
      </c>
      <c r="F210" s="8"/>
      <c r="G210" s="38">
        <f t="shared" si="17"/>
        <v>48</v>
      </c>
      <c r="H210" s="14" t="s">
        <v>48</v>
      </c>
      <c r="I210" s="15" t="s">
        <v>132</v>
      </c>
      <c r="J210" s="39">
        <v>-438.92</v>
      </c>
      <c r="K210" s="33">
        <f t="shared" si="15"/>
        <v>-250539.69</v>
      </c>
      <c r="L210" s="33">
        <f t="shared" si="13"/>
        <v>464.2</v>
      </c>
    </row>
    <row r="211" spans="1:12" ht="15.75" hidden="1">
      <c r="A211" s="28">
        <f t="shared" si="16"/>
        <v>49</v>
      </c>
      <c r="B211" s="14" t="s">
        <v>49</v>
      </c>
      <c r="C211" s="15" t="s">
        <v>132</v>
      </c>
      <c r="D211" s="39">
        <v>-843.42</v>
      </c>
      <c r="E211" s="33">
        <f t="shared" si="14"/>
        <v>-253001.84</v>
      </c>
      <c r="F211" s="8"/>
      <c r="G211" s="38">
        <f t="shared" si="17"/>
        <v>49</v>
      </c>
      <c r="H211" s="14" t="s">
        <v>49</v>
      </c>
      <c r="I211" s="15" t="s">
        <v>132</v>
      </c>
      <c r="J211" s="39">
        <v>-1037.22</v>
      </c>
      <c r="K211" s="33">
        <f t="shared" si="15"/>
        <v>-251576.91</v>
      </c>
      <c r="L211" s="33">
        <f t="shared" si="13"/>
        <v>-193.8</v>
      </c>
    </row>
    <row r="212" spans="1:12" ht="15.75" hidden="1">
      <c r="A212" s="28">
        <f t="shared" si="16"/>
        <v>50</v>
      </c>
      <c r="B212" s="43" t="s">
        <v>50</v>
      </c>
      <c r="C212" s="23" t="s">
        <v>132</v>
      </c>
      <c r="D212" s="39">
        <v>-636.36</v>
      </c>
      <c r="E212" s="33">
        <f t="shared" si="14"/>
        <v>-253638.2</v>
      </c>
      <c r="F212" s="8"/>
      <c r="G212" s="38">
        <f t="shared" si="17"/>
        <v>50</v>
      </c>
      <c r="H212" s="14" t="s">
        <v>50</v>
      </c>
      <c r="I212" s="15" t="s">
        <v>132</v>
      </c>
      <c r="J212" s="39">
        <v>-487.66</v>
      </c>
      <c r="K212" s="33">
        <f t="shared" si="15"/>
        <v>-252064.57</v>
      </c>
      <c r="L212" s="33">
        <f t="shared" si="13"/>
        <v>148.69999999999999</v>
      </c>
    </row>
    <row r="213" spans="1:12" ht="15.75" hidden="1">
      <c r="A213" s="28">
        <f t="shared" si="16"/>
        <v>51</v>
      </c>
      <c r="B213" s="25" t="s">
        <v>51</v>
      </c>
      <c r="C213" s="26" t="s">
        <v>133</v>
      </c>
      <c r="D213" s="39">
        <v>-132.12</v>
      </c>
      <c r="E213" s="33">
        <f t="shared" si="14"/>
        <v>-253770.32</v>
      </c>
      <c r="F213" s="8"/>
      <c r="G213" s="38">
        <f t="shared" si="17"/>
        <v>51</v>
      </c>
      <c r="H213" s="25" t="s">
        <v>51</v>
      </c>
      <c r="I213" s="26" t="s">
        <v>133</v>
      </c>
      <c r="J213" s="39">
        <v>-385.24</v>
      </c>
      <c r="K213" s="33">
        <f t="shared" si="15"/>
        <v>-252449.81</v>
      </c>
      <c r="L213" s="33">
        <f t="shared" si="13"/>
        <v>-253.12</v>
      </c>
    </row>
    <row r="214" spans="1:12" ht="15.75" hidden="1">
      <c r="A214" s="28">
        <f t="shared" si="16"/>
        <v>52</v>
      </c>
      <c r="B214" s="14" t="s">
        <v>52</v>
      </c>
      <c r="C214" s="15" t="s">
        <v>133</v>
      </c>
      <c r="D214" s="39"/>
      <c r="E214" s="33">
        <f t="shared" si="14"/>
        <v>-253770.32</v>
      </c>
      <c r="F214" s="8"/>
      <c r="G214" s="38">
        <f t="shared" si="17"/>
        <v>52</v>
      </c>
      <c r="H214" s="14" t="s">
        <v>52</v>
      </c>
      <c r="I214" s="15" t="s">
        <v>133</v>
      </c>
      <c r="J214" s="39"/>
      <c r="K214" s="33">
        <f t="shared" si="15"/>
        <v>-252449.81</v>
      </c>
      <c r="L214" s="33"/>
    </row>
    <row r="215" spans="1:12" ht="15.75" hidden="1">
      <c r="A215" s="28">
        <f t="shared" si="16"/>
        <v>53</v>
      </c>
      <c r="B215" s="14" t="s">
        <v>53</v>
      </c>
      <c r="C215" s="15" t="s">
        <v>133</v>
      </c>
      <c r="D215" s="39">
        <v>-632.41999999999996</v>
      </c>
      <c r="E215" s="33">
        <f t="shared" si="14"/>
        <v>-254402.74</v>
      </c>
      <c r="F215" s="8"/>
      <c r="G215" s="38">
        <f t="shared" si="17"/>
        <v>53</v>
      </c>
      <c r="H215" s="14" t="s">
        <v>53</v>
      </c>
      <c r="I215" s="15" t="s">
        <v>133</v>
      </c>
      <c r="J215" s="39">
        <v>-1654.56</v>
      </c>
      <c r="K215" s="33">
        <f t="shared" si="15"/>
        <v>-254104.37</v>
      </c>
      <c r="L215" s="33">
        <f t="shared" si="13"/>
        <v>-1022.14</v>
      </c>
    </row>
    <row r="216" spans="1:12" ht="15.75" hidden="1">
      <c r="A216" s="28">
        <f t="shared" si="16"/>
        <v>54</v>
      </c>
      <c r="B216" s="14" t="s">
        <v>54</v>
      </c>
      <c r="C216" s="15" t="s">
        <v>133</v>
      </c>
      <c r="D216" s="39"/>
      <c r="E216" s="33">
        <f t="shared" si="14"/>
        <v>-254402.74</v>
      </c>
      <c r="F216" s="8"/>
      <c r="G216" s="38">
        <f t="shared" si="17"/>
        <v>54</v>
      </c>
      <c r="H216" s="14" t="s">
        <v>54</v>
      </c>
      <c r="I216" s="15" t="s">
        <v>133</v>
      </c>
      <c r="J216" s="39"/>
      <c r="K216" s="33">
        <f t="shared" si="15"/>
        <v>-254104.37</v>
      </c>
      <c r="L216" s="33"/>
    </row>
    <row r="217" spans="1:12" ht="15.75" hidden="1">
      <c r="A217" s="28">
        <f t="shared" si="16"/>
        <v>55</v>
      </c>
      <c r="B217" s="14" t="s">
        <v>55</v>
      </c>
      <c r="C217" s="15" t="s">
        <v>133</v>
      </c>
      <c r="D217" s="39">
        <v>-5401.63</v>
      </c>
      <c r="E217" s="33">
        <f t="shared" si="14"/>
        <v>-259804.37</v>
      </c>
      <c r="F217" s="8"/>
      <c r="G217" s="38">
        <f t="shared" si="17"/>
        <v>55</v>
      </c>
      <c r="H217" s="14" t="s">
        <v>55</v>
      </c>
      <c r="I217" s="15" t="s">
        <v>133</v>
      </c>
      <c r="J217" s="39">
        <v>-5398.13</v>
      </c>
      <c r="K217" s="33">
        <f t="shared" si="15"/>
        <v>-259502.5</v>
      </c>
      <c r="L217" s="33">
        <f t="shared" si="13"/>
        <v>3.5</v>
      </c>
    </row>
    <row r="218" spans="1:12" ht="15.75" hidden="1">
      <c r="A218" s="28">
        <f t="shared" si="16"/>
        <v>56</v>
      </c>
      <c r="B218" s="14" t="s">
        <v>56</v>
      </c>
      <c r="C218" s="15" t="s">
        <v>133</v>
      </c>
      <c r="D218" s="39">
        <v>-4068.22</v>
      </c>
      <c r="E218" s="33">
        <f t="shared" si="14"/>
        <v>-263872.59000000003</v>
      </c>
      <c r="F218" s="8"/>
      <c r="G218" s="38">
        <f t="shared" si="17"/>
        <v>56</v>
      </c>
      <c r="H218" s="14" t="s">
        <v>56</v>
      </c>
      <c r="I218" s="15" t="s">
        <v>133</v>
      </c>
      <c r="J218" s="39">
        <v>-4125.62</v>
      </c>
      <c r="K218" s="33">
        <f t="shared" si="15"/>
        <v>-263628.12</v>
      </c>
      <c r="L218" s="33">
        <f t="shared" si="13"/>
        <v>-57.400000000000098</v>
      </c>
    </row>
    <row r="219" spans="1:12" ht="15.75" hidden="1">
      <c r="A219" s="28">
        <f t="shared" si="16"/>
        <v>57</v>
      </c>
      <c r="B219" s="14" t="s">
        <v>57</v>
      </c>
      <c r="C219" s="15" t="s">
        <v>133</v>
      </c>
      <c r="D219" s="39"/>
      <c r="E219" s="33">
        <f t="shared" si="14"/>
        <v>-263872.59000000003</v>
      </c>
      <c r="F219" s="8"/>
      <c r="G219" s="38">
        <f t="shared" si="17"/>
        <v>57</v>
      </c>
      <c r="H219" s="14" t="s">
        <v>57</v>
      </c>
      <c r="I219" s="15" t="s">
        <v>133</v>
      </c>
      <c r="J219" s="39"/>
      <c r="K219" s="33">
        <f t="shared" si="15"/>
        <v>-263628.12</v>
      </c>
      <c r="L219" s="33"/>
    </row>
    <row r="220" spans="1:12" ht="15.75" hidden="1">
      <c r="A220" s="28">
        <f t="shared" si="16"/>
        <v>58</v>
      </c>
      <c r="B220" s="43" t="s">
        <v>58</v>
      </c>
      <c r="C220" s="23" t="s">
        <v>133</v>
      </c>
      <c r="D220" s="39">
        <v>-10463</v>
      </c>
      <c r="E220" s="33">
        <f t="shared" si="14"/>
        <v>-274335.59000000003</v>
      </c>
      <c r="F220" s="8"/>
      <c r="G220" s="38">
        <f t="shared" si="17"/>
        <v>58</v>
      </c>
      <c r="H220" s="43" t="s">
        <v>58</v>
      </c>
      <c r="I220" s="23" t="s">
        <v>133</v>
      </c>
      <c r="J220" s="39">
        <v>-10428.1</v>
      </c>
      <c r="K220" s="33">
        <f t="shared" si="15"/>
        <v>-274056.21999999997</v>
      </c>
      <c r="L220" s="33">
        <f t="shared" si="13"/>
        <v>34.899999999999601</v>
      </c>
    </row>
    <row r="221" spans="1:12" ht="15.75" hidden="1">
      <c r="A221" s="28">
        <f t="shared" si="16"/>
        <v>59</v>
      </c>
      <c r="B221" s="25" t="s">
        <v>59</v>
      </c>
      <c r="C221" s="26" t="s">
        <v>134</v>
      </c>
      <c r="D221" s="39"/>
      <c r="E221" s="33">
        <f t="shared" si="14"/>
        <v>-274335.59000000003</v>
      </c>
      <c r="F221" s="8"/>
      <c r="G221" s="38">
        <f t="shared" si="17"/>
        <v>59</v>
      </c>
      <c r="H221" s="25" t="s">
        <v>59</v>
      </c>
      <c r="I221" s="26" t="s">
        <v>134</v>
      </c>
      <c r="J221" s="39"/>
      <c r="K221" s="33">
        <f t="shared" si="15"/>
        <v>-274056.21999999997</v>
      </c>
      <c r="L221" s="33"/>
    </row>
    <row r="222" spans="1:12" ht="15.75" hidden="1">
      <c r="A222" s="28">
        <f t="shared" si="16"/>
        <v>60</v>
      </c>
      <c r="B222" s="14" t="s">
        <v>60</v>
      </c>
      <c r="C222" s="15" t="s">
        <v>134</v>
      </c>
      <c r="D222" s="39">
        <v>-412.48</v>
      </c>
      <c r="E222" s="33">
        <f t="shared" si="14"/>
        <v>-274748.07</v>
      </c>
      <c r="F222" s="8"/>
      <c r="G222" s="38">
        <f t="shared" si="17"/>
        <v>60</v>
      </c>
      <c r="H222" s="14" t="s">
        <v>60</v>
      </c>
      <c r="I222" s="15" t="s">
        <v>134</v>
      </c>
      <c r="J222" s="39">
        <v>-192.98</v>
      </c>
      <c r="K222" s="33">
        <f t="shared" si="15"/>
        <v>-274249.2</v>
      </c>
      <c r="L222" s="33">
        <f t="shared" si="13"/>
        <v>219.5</v>
      </c>
    </row>
    <row r="223" spans="1:12" ht="15.75" hidden="1">
      <c r="A223" s="28">
        <f t="shared" si="16"/>
        <v>61</v>
      </c>
      <c r="B223" s="14" t="s">
        <v>61</v>
      </c>
      <c r="C223" s="15" t="s">
        <v>134</v>
      </c>
      <c r="D223" s="39"/>
      <c r="E223" s="33">
        <f t="shared" si="14"/>
        <v>-274748.07</v>
      </c>
      <c r="F223" s="8"/>
      <c r="G223" s="38">
        <f t="shared" si="17"/>
        <v>61</v>
      </c>
      <c r="H223" s="14" t="s">
        <v>61</v>
      </c>
      <c r="I223" s="15" t="s">
        <v>134</v>
      </c>
      <c r="J223" s="39">
        <v>-92.09</v>
      </c>
      <c r="K223" s="33">
        <f t="shared" si="15"/>
        <v>-274341.28999999998</v>
      </c>
      <c r="L223" s="33">
        <f t="shared" si="13"/>
        <v>-92.09</v>
      </c>
    </row>
    <row r="224" spans="1:12" ht="15.75" hidden="1">
      <c r="A224" s="28">
        <f t="shared" si="16"/>
        <v>62</v>
      </c>
      <c r="B224" s="14" t="s">
        <v>62</v>
      </c>
      <c r="C224" s="15" t="s">
        <v>134</v>
      </c>
      <c r="D224" s="39"/>
      <c r="E224" s="33">
        <f t="shared" si="14"/>
        <v>-274748.07</v>
      </c>
      <c r="F224" s="8"/>
      <c r="G224" s="38">
        <f t="shared" si="17"/>
        <v>62</v>
      </c>
      <c r="H224" s="14" t="s">
        <v>62</v>
      </c>
      <c r="I224" s="15" t="s">
        <v>134</v>
      </c>
      <c r="J224" s="39"/>
      <c r="K224" s="33">
        <f t="shared" si="15"/>
        <v>-274341.28999999998</v>
      </c>
      <c r="L224" s="33"/>
    </row>
    <row r="225" spans="1:16" ht="15.75" hidden="1">
      <c r="A225" s="28">
        <f t="shared" si="16"/>
        <v>63</v>
      </c>
      <c r="B225" s="14" t="s">
        <v>63</v>
      </c>
      <c r="C225" s="15" t="s">
        <v>134</v>
      </c>
      <c r="D225" s="39"/>
      <c r="E225" s="33">
        <f t="shared" si="14"/>
        <v>-274748.07</v>
      </c>
      <c r="F225" s="8"/>
      <c r="G225" s="38">
        <f t="shared" si="17"/>
        <v>63</v>
      </c>
      <c r="H225" s="14" t="s">
        <v>63</v>
      </c>
      <c r="I225" s="15" t="s">
        <v>134</v>
      </c>
      <c r="J225" s="39"/>
      <c r="K225" s="33">
        <f t="shared" si="15"/>
        <v>-274341.28999999998</v>
      </c>
      <c r="L225" s="33"/>
    </row>
    <row r="226" spans="1:16" ht="15.75" hidden="1">
      <c r="A226" s="28">
        <f t="shared" si="16"/>
        <v>64</v>
      </c>
      <c r="B226" s="14" t="s">
        <v>64</v>
      </c>
      <c r="C226" s="15" t="s">
        <v>134</v>
      </c>
      <c r="D226" s="39">
        <v>-46.45</v>
      </c>
      <c r="E226" s="33">
        <f t="shared" si="14"/>
        <v>-274794.52</v>
      </c>
      <c r="F226" s="8"/>
      <c r="G226" s="38">
        <f t="shared" si="17"/>
        <v>64</v>
      </c>
      <c r="H226" s="14" t="s">
        <v>64</v>
      </c>
      <c r="I226" s="15" t="s">
        <v>134</v>
      </c>
      <c r="J226" s="39"/>
      <c r="K226" s="33">
        <f t="shared" si="15"/>
        <v>-274341.28999999998</v>
      </c>
      <c r="L226" s="33">
        <f t="shared" si="13"/>
        <v>46.45</v>
      </c>
      <c r="M226" s="8"/>
      <c r="N226" s="25" t="s">
        <v>1</v>
      </c>
      <c r="O226" s="26" t="s">
        <v>119</v>
      </c>
      <c r="P226" s="1">
        <v>-4409.34</v>
      </c>
    </row>
    <row r="227" spans="1:16" ht="15.75" hidden="1">
      <c r="A227" s="28">
        <f t="shared" si="16"/>
        <v>65</v>
      </c>
      <c r="B227" s="14" t="s">
        <v>65</v>
      </c>
      <c r="C227" s="15" t="s">
        <v>134</v>
      </c>
      <c r="D227" s="39"/>
      <c r="E227" s="33">
        <f t="shared" si="14"/>
        <v>-274794.52</v>
      </c>
      <c r="F227" s="8"/>
      <c r="G227" s="38">
        <f t="shared" si="17"/>
        <v>65</v>
      </c>
      <c r="H227" s="14" t="s">
        <v>65</v>
      </c>
      <c r="I227" s="15" t="s">
        <v>134</v>
      </c>
      <c r="J227" s="39"/>
      <c r="K227" s="33">
        <f t="shared" si="15"/>
        <v>-274341.28999999998</v>
      </c>
      <c r="L227" s="33"/>
      <c r="M227" s="8"/>
      <c r="N227" s="14" t="s">
        <v>2</v>
      </c>
      <c r="O227" s="15" t="s">
        <v>119</v>
      </c>
      <c r="P227" s="1">
        <v>-1835.2</v>
      </c>
    </row>
    <row r="228" spans="1:16" ht="15.75" hidden="1">
      <c r="A228" s="28">
        <f t="shared" si="16"/>
        <v>66</v>
      </c>
      <c r="B228" s="43" t="s">
        <v>66</v>
      </c>
      <c r="C228" s="23" t="s">
        <v>134</v>
      </c>
      <c r="D228" s="39"/>
      <c r="E228" s="44">
        <f t="shared" si="14"/>
        <v>-274794.52</v>
      </c>
      <c r="F228" s="8"/>
      <c r="G228" s="38">
        <f t="shared" si="17"/>
        <v>66</v>
      </c>
      <c r="H228" s="43" t="s">
        <v>66</v>
      </c>
      <c r="I228" s="23" t="s">
        <v>134</v>
      </c>
      <c r="J228" s="39"/>
      <c r="K228" s="33">
        <f t="shared" si="15"/>
        <v>-274341.28999999998</v>
      </c>
      <c r="L228" s="33"/>
      <c r="M228" s="8"/>
      <c r="N228" s="14" t="s">
        <v>3</v>
      </c>
      <c r="O228" s="15" t="s">
        <v>119</v>
      </c>
      <c r="P228" s="1">
        <v>-546.96</v>
      </c>
    </row>
    <row r="229" spans="1:16" ht="15.75" hidden="1">
      <c r="A229" s="28">
        <f t="shared" si="16"/>
        <v>67</v>
      </c>
      <c r="B229" s="25" t="s">
        <v>67</v>
      </c>
      <c r="C229" s="26" t="s">
        <v>135</v>
      </c>
      <c r="D229" s="39">
        <v>-1323.21</v>
      </c>
      <c r="E229" s="30">
        <f t="shared" ref="E229:E260" si="18">E228+D229</f>
        <v>-276117.73</v>
      </c>
      <c r="F229" s="8"/>
      <c r="G229" s="38">
        <f t="shared" si="17"/>
        <v>67</v>
      </c>
      <c r="H229" s="25" t="s">
        <v>67</v>
      </c>
      <c r="I229" s="26" t="s">
        <v>135</v>
      </c>
      <c r="J229" s="39">
        <v>-1407.71</v>
      </c>
      <c r="K229" s="33">
        <f t="shared" ref="K229:K260" si="19">K228+J229</f>
        <v>-275749</v>
      </c>
      <c r="L229" s="33">
        <f t="shared" ref="L229:L256" si="20">J229-D229</f>
        <v>-84.5</v>
      </c>
      <c r="M229" s="8"/>
      <c r="N229" s="14" t="s">
        <v>4</v>
      </c>
      <c r="O229" s="15" t="s">
        <v>119</v>
      </c>
      <c r="P229" s="1">
        <v>-11510.96</v>
      </c>
    </row>
    <row r="230" spans="1:16" ht="15.75" hidden="1">
      <c r="A230" s="28">
        <f t="shared" si="16"/>
        <v>68</v>
      </c>
      <c r="B230" s="14" t="s">
        <v>68</v>
      </c>
      <c r="C230" s="15" t="s">
        <v>135</v>
      </c>
      <c r="D230" s="39">
        <v>-2645.96</v>
      </c>
      <c r="E230" s="33">
        <f t="shared" si="18"/>
        <v>-278763.69</v>
      </c>
      <c r="F230" s="8"/>
      <c r="G230" s="38">
        <f t="shared" si="17"/>
        <v>68</v>
      </c>
      <c r="H230" s="14" t="s">
        <v>68</v>
      </c>
      <c r="I230" s="15" t="s">
        <v>135</v>
      </c>
      <c r="J230" s="39">
        <v>-3046.96</v>
      </c>
      <c r="K230" s="33">
        <f t="shared" si="19"/>
        <v>-278795.96000000002</v>
      </c>
      <c r="L230" s="33">
        <f t="shared" si="20"/>
        <v>-401</v>
      </c>
      <c r="M230" s="8"/>
      <c r="N230" s="14" t="s">
        <v>5</v>
      </c>
      <c r="O230" s="15" t="s">
        <v>119</v>
      </c>
      <c r="P230" s="1"/>
    </row>
    <row r="231" spans="1:16" ht="15.75" hidden="1">
      <c r="A231" s="28">
        <f t="shared" si="16"/>
        <v>69</v>
      </c>
      <c r="B231" s="43" t="s">
        <v>69</v>
      </c>
      <c r="C231" s="23" t="s">
        <v>135</v>
      </c>
      <c r="D231" s="39">
        <v>-3712.06</v>
      </c>
      <c r="E231" s="44">
        <f t="shared" si="18"/>
        <v>-282475.75</v>
      </c>
      <c r="F231" s="8"/>
      <c r="G231" s="38">
        <f t="shared" si="17"/>
        <v>69</v>
      </c>
      <c r="H231" s="43" t="s">
        <v>69</v>
      </c>
      <c r="I231" s="23" t="s">
        <v>135</v>
      </c>
      <c r="J231" s="39">
        <v>-3458.66</v>
      </c>
      <c r="K231" s="33">
        <f t="shared" si="19"/>
        <v>-282254.62</v>
      </c>
      <c r="L231" s="33">
        <f t="shared" si="20"/>
        <v>253.4</v>
      </c>
      <c r="M231" s="8"/>
      <c r="N231" s="14" t="s">
        <v>6</v>
      </c>
      <c r="O231" s="15" t="s">
        <v>119</v>
      </c>
      <c r="P231" s="1">
        <v>-2553.86</v>
      </c>
    </row>
    <row r="232" spans="1:16" ht="15.75" hidden="1">
      <c r="A232" s="28">
        <f t="shared" si="16"/>
        <v>70</v>
      </c>
      <c r="B232" s="25" t="s">
        <v>136</v>
      </c>
      <c r="C232" s="26" t="s">
        <v>137</v>
      </c>
      <c r="D232" s="39">
        <v>-3620.96</v>
      </c>
      <c r="E232" s="30">
        <f t="shared" si="18"/>
        <v>-286096.71000000002</v>
      </c>
      <c r="F232" s="8"/>
      <c r="G232" s="38">
        <f t="shared" si="17"/>
        <v>70</v>
      </c>
      <c r="H232" s="25" t="s">
        <v>136</v>
      </c>
      <c r="I232" s="26" t="s">
        <v>137</v>
      </c>
      <c r="J232" s="39">
        <v>-3049.18</v>
      </c>
      <c r="K232" s="33">
        <f t="shared" si="19"/>
        <v>-285303.8</v>
      </c>
      <c r="L232" s="33">
        <f t="shared" si="20"/>
        <v>571.78</v>
      </c>
      <c r="M232" s="8"/>
      <c r="N232" s="14" t="s">
        <v>7</v>
      </c>
      <c r="O232" s="15" t="s">
        <v>119</v>
      </c>
      <c r="P232" s="1">
        <v>-231.3</v>
      </c>
    </row>
    <row r="233" spans="1:16" ht="15.75" hidden="1">
      <c r="A233" s="28">
        <f t="shared" si="16"/>
        <v>71</v>
      </c>
      <c r="B233" s="14" t="s">
        <v>71</v>
      </c>
      <c r="C233" s="15" t="s">
        <v>137</v>
      </c>
      <c r="D233" s="39"/>
      <c r="E233" s="33">
        <f t="shared" si="18"/>
        <v>-286096.71000000002</v>
      </c>
      <c r="F233" s="8"/>
      <c r="G233" s="38">
        <f t="shared" si="17"/>
        <v>71</v>
      </c>
      <c r="H233" s="14" t="s">
        <v>71</v>
      </c>
      <c r="I233" s="15" t="s">
        <v>137</v>
      </c>
      <c r="J233" s="39"/>
      <c r="K233" s="33">
        <f t="shared" si="19"/>
        <v>-285303.8</v>
      </c>
      <c r="L233" s="33"/>
      <c r="M233" s="8"/>
      <c r="N233" s="14" t="s">
        <v>8</v>
      </c>
      <c r="O233" s="15" t="s">
        <v>119</v>
      </c>
      <c r="P233" s="1">
        <v>800.32</v>
      </c>
    </row>
    <row r="234" spans="1:16" ht="15.75" hidden="1">
      <c r="A234" s="28">
        <f t="shared" si="16"/>
        <v>72</v>
      </c>
      <c r="B234" s="14" t="s">
        <v>72</v>
      </c>
      <c r="C234" s="15" t="s">
        <v>137</v>
      </c>
      <c r="D234" s="39"/>
      <c r="E234" s="33">
        <f t="shared" si="18"/>
        <v>-286096.71000000002</v>
      </c>
      <c r="F234" s="8"/>
      <c r="G234" s="38">
        <f t="shared" si="17"/>
        <v>72</v>
      </c>
      <c r="H234" s="14" t="s">
        <v>72</v>
      </c>
      <c r="I234" s="15" t="s">
        <v>137</v>
      </c>
      <c r="J234" s="39"/>
      <c r="K234" s="33">
        <f t="shared" si="19"/>
        <v>-285303.8</v>
      </c>
      <c r="L234" s="33"/>
      <c r="M234" s="8"/>
      <c r="N234" s="14" t="s">
        <v>9</v>
      </c>
      <c r="O234" s="15" t="s">
        <v>119</v>
      </c>
      <c r="P234" s="1">
        <v>-3182.4</v>
      </c>
    </row>
    <row r="235" spans="1:16" ht="15.75" hidden="1">
      <c r="A235" s="28">
        <f t="shared" si="16"/>
        <v>73</v>
      </c>
      <c r="B235" s="14" t="s">
        <v>138</v>
      </c>
      <c r="C235" s="15" t="s">
        <v>137</v>
      </c>
      <c r="D235" s="39"/>
      <c r="E235" s="33">
        <f t="shared" si="18"/>
        <v>-286096.71000000002</v>
      </c>
      <c r="F235" s="8"/>
      <c r="G235" s="38">
        <f t="shared" si="17"/>
        <v>73</v>
      </c>
      <c r="H235" s="14" t="s">
        <v>138</v>
      </c>
      <c r="I235" s="15" t="s">
        <v>137</v>
      </c>
      <c r="J235" s="39"/>
      <c r="K235" s="33">
        <f t="shared" si="19"/>
        <v>-285303.8</v>
      </c>
      <c r="L235" s="33"/>
      <c r="M235" s="8"/>
      <c r="N235" s="14" t="s">
        <v>10</v>
      </c>
      <c r="O235" s="15" t="s">
        <v>119</v>
      </c>
      <c r="P235" s="1">
        <v>-722.3</v>
      </c>
    </row>
    <row r="236" spans="1:16" ht="15.75" hidden="1">
      <c r="A236" s="28">
        <f t="shared" si="16"/>
        <v>74</v>
      </c>
      <c r="B236" s="14" t="s">
        <v>74</v>
      </c>
      <c r="C236" s="15" t="s">
        <v>137</v>
      </c>
      <c r="D236" s="39">
        <v>-4452.1000000000004</v>
      </c>
      <c r="E236" s="33">
        <f t="shared" si="18"/>
        <v>-290548.81</v>
      </c>
      <c r="F236" s="8"/>
      <c r="G236" s="38">
        <f t="shared" si="17"/>
        <v>74</v>
      </c>
      <c r="H236" s="14" t="s">
        <v>74</v>
      </c>
      <c r="I236" s="15" t="s">
        <v>137</v>
      </c>
      <c r="J236" s="39">
        <v>-5448.8</v>
      </c>
      <c r="K236" s="33">
        <f t="shared" si="19"/>
        <v>-290752.59999999998</v>
      </c>
      <c r="L236" s="33">
        <f t="shared" si="20"/>
        <v>-996.7</v>
      </c>
      <c r="M236" s="8"/>
      <c r="N236" s="43" t="s">
        <v>11</v>
      </c>
      <c r="O236" s="23" t="s">
        <v>119</v>
      </c>
      <c r="P236" s="1">
        <v>395.38</v>
      </c>
    </row>
    <row r="237" spans="1:16" ht="15.75" hidden="1">
      <c r="A237" s="28">
        <f t="shared" si="16"/>
        <v>75</v>
      </c>
      <c r="B237" s="14" t="s">
        <v>75</v>
      </c>
      <c r="C237" s="15" t="s">
        <v>137</v>
      </c>
      <c r="D237" s="39">
        <v>-16948.990000000002</v>
      </c>
      <c r="E237" s="33">
        <f t="shared" si="18"/>
        <v>-307497.8</v>
      </c>
      <c r="F237" s="8"/>
      <c r="G237" s="38">
        <f t="shared" si="17"/>
        <v>75</v>
      </c>
      <c r="H237" s="14" t="s">
        <v>75</v>
      </c>
      <c r="I237" s="15" t="s">
        <v>137</v>
      </c>
      <c r="J237" s="39">
        <v>-18206.29</v>
      </c>
      <c r="K237" s="33">
        <f t="shared" si="19"/>
        <v>-308958.89</v>
      </c>
      <c r="L237" s="33">
        <f t="shared" si="20"/>
        <v>-1257.3</v>
      </c>
      <c r="M237" s="8"/>
      <c r="N237" s="25" t="s">
        <v>12</v>
      </c>
      <c r="O237" s="26" t="s">
        <v>123</v>
      </c>
      <c r="P237" s="1">
        <v>-24412.5</v>
      </c>
    </row>
    <row r="238" spans="1:16" ht="15.75" hidden="1">
      <c r="A238" s="28">
        <f t="shared" si="16"/>
        <v>76</v>
      </c>
      <c r="B238" s="43" t="s">
        <v>76</v>
      </c>
      <c r="C238" s="23" t="s">
        <v>137</v>
      </c>
      <c r="D238" s="39">
        <v>-48550.64</v>
      </c>
      <c r="E238" s="44">
        <f t="shared" si="18"/>
        <v>-356048.44</v>
      </c>
      <c r="F238" s="8"/>
      <c r="G238" s="38">
        <f t="shared" si="17"/>
        <v>76</v>
      </c>
      <c r="H238" s="43" t="s">
        <v>76</v>
      </c>
      <c r="I238" s="23" t="s">
        <v>137</v>
      </c>
      <c r="J238" s="39">
        <v>-49067.54</v>
      </c>
      <c r="K238" s="33">
        <f t="shared" si="19"/>
        <v>-358026.43</v>
      </c>
      <c r="L238" s="33">
        <f t="shared" si="20"/>
        <v>-516.900000000001</v>
      </c>
      <c r="M238" s="8"/>
      <c r="N238" s="14" t="s">
        <v>13</v>
      </c>
      <c r="O238" s="15" t="s">
        <v>123</v>
      </c>
      <c r="P238" s="1">
        <v>-5464.7</v>
      </c>
    </row>
    <row r="239" spans="1:16" ht="15.75" hidden="1">
      <c r="A239" s="28">
        <f t="shared" si="16"/>
        <v>77</v>
      </c>
      <c r="B239" s="25" t="s">
        <v>77</v>
      </c>
      <c r="C239" s="26" t="s">
        <v>139</v>
      </c>
      <c r="D239" s="39"/>
      <c r="E239" s="30">
        <f t="shared" si="18"/>
        <v>-356048.44</v>
      </c>
      <c r="F239" s="8"/>
      <c r="G239" s="38">
        <f t="shared" si="17"/>
        <v>77</v>
      </c>
      <c r="H239" s="25" t="s">
        <v>77</v>
      </c>
      <c r="I239" s="26" t="s">
        <v>139</v>
      </c>
      <c r="J239" s="39"/>
      <c r="K239" s="33">
        <f t="shared" si="19"/>
        <v>-358026.43</v>
      </c>
      <c r="L239" s="33"/>
      <c r="M239" s="8"/>
      <c r="N239" s="14" t="s">
        <v>14</v>
      </c>
      <c r="O239" s="15" t="s">
        <v>123</v>
      </c>
      <c r="P239" s="1">
        <v>-2390.6999999999998</v>
      </c>
    </row>
    <row r="240" spans="1:16" ht="15.75" hidden="1">
      <c r="A240" s="28">
        <f t="shared" si="16"/>
        <v>78</v>
      </c>
      <c r="B240" s="14" t="s">
        <v>78</v>
      </c>
      <c r="C240" s="15" t="s">
        <v>139</v>
      </c>
      <c r="D240" s="39"/>
      <c r="E240" s="33">
        <f t="shared" si="18"/>
        <v>-356048.44</v>
      </c>
      <c r="F240" s="8"/>
      <c r="G240" s="38">
        <f t="shared" si="17"/>
        <v>78</v>
      </c>
      <c r="H240" s="14" t="s">
        <v>78</v>
      </c>
      <c r="I240" s="15" t="s">
        <v>139</v>
      </c>
      <c r="J240" s="39"/>
      <c r="K240" s="33">
        <f t="shared" si="19"/>
        <v>-358026.43</v>
      </c>
      <c r="L240" s="33"/>
      <c r="M240" s="8"/>
      <c r="N240" s="14" t="s">
        <v>15</v>
      </c>
      <c r="O240" s="15" t="s">
        <v>123</v>
      </c>
      <c r="P240" s="1">
        <v>-39747.300000000003</v>
      </c>
    </row>
    <row r="241" spans="1:16" ht="15.75" hidden="1">
      <c r="A241" s="28">
        <f t="shared" si="16"/>
        <v>79</v>
      </c>
      <c r="B241" s="14" t="s">
        <v>79</v>
      </c>
      <c r="C241" s="15" t="s">
        <v>139</v>
      </c>
      <c r="D241" s="39">
        <v>-1905.51</v>
      </c>
      <c r="E241" s="33">
        <f t="shared" si="18"/>
        <v>-357953.95</v>
      </c>
      <c r="F241" s="8"/>
      <c r="G241" s="38">
        <f t="shared" si="17"/>
        <v>79</v>
      </c>
      <c r="H241" s="14" t="s">
        <v>79</v>
      </c>
      <c r="I241" s="15" t="s">
        <v>139</v>
      </c>
      <c r="J241" s="39">
        <v>-1620.91</v>
      </c>
      <c r="K241" s="33">
        <f t="shared" si="19"/>
        <v>-359647.34</v>
      </c>
      <c r="L241" s="33">
        <f t="shared" si="20"/>
        <v>284.60000000000002</v>
      </c>
      <c r="M241" s="8"/>
      <c r="N241" s="14" t="s">
        <v>16</v>
      </c>
      <c r="O241" s="15" t="s">
        <v>123</v>
      </c>
      <c r="P241" s="1">
        <v>-5388.91</v>
      </c>
    </row>
    <row r="242" spans="1:16" ht="15.75" hidden="1">
      <c r="A242" s="28">
        <f t="shared" si="16"/>
        <v>80</v>
      </c>
      <c r="B242" s="14" t="s">
        <v>80</v>
      </c>
      <c r="C242" s="15" t="s">
        <v>139</v>
      </c>
      <c r="D242" s="39"/>
      <c r="E242" s="33">
        <f t="shared" si="18"/>
        <v>-357953.95</v>
      </c>
      <c r="F242" s="8"/>
      <c r="G242" s="38">
        <f t="shared" si="17"/>
        <v>80</v>
      </c>
      <c r="H242" s="14" t="s">
        <v>80</v>
      </c>
      <c r="I242" s="15" t="s">
        <v>139</v>
      </c>
      <c r="J242" s="39"/>
      <c r="K242" s="33">
        <f t="shared" si="19"/>
        <v>-359647.34</v>
      </c>
      <c r="L242" s="33"/>
      <c r="M242" s="8"/>
      <c r="N242" s="14" t="s">
        <v>17</v>
      </c>
      <c r="O242" s="15" t="s">
        <v>123</v>
      </c>
      <c r="P242" s="1"/>
    </row>
    <row r="243" spans="1:16" ht="15.75" hidden="1">
      <c r="A243" s="28">
        <f t="shared" si="16"/>
        <v>81</v>
      </c>
      <c r="B243" s="14" t="s">
        <v>81</v>
      </c>
      <c r="C243" s="15" t="s">
        <v>139</v>
      </c>
      <c r="D243" s="39">
        <v>-454.2</v>
      </c>
      <c r="E243" s="33">
        <f t="shared" si="18"/>
        <v>-358408.15</v>
      </c>
      <c r="F243" s="8"/>
      <c r="G243" s="38">
        <f t="shared" si="17"/>
        <v>81</v>
      </c>
      <c r="H243" s="14" t="s">
        <v>81</v>
      </c>
      <c r="I243" s="15" t="s">
        <v>139</v>
      </c>
      <c r="J243" s="39">
        <v>-782</v>
      </c>
      <c r="K243" s="33">
        <f t="shared" si="19"/>
        <v>-360429.34</v>
      </c>
      <c r="L243" s="33">
        <f t="shared" si="20"/>
        <v>-327.8</v>
      </c>
      <c r="M243" s="8"/>
      <c r="N243" s="45" t="s">
        <v>124</v>
      </c>
      <c r="O243" s="46" t="s">
        <v>123</v>
      </c>
      <c r="P243" s="1">
        <v>-29777.4</v>
      </c>
    </row>
    <row r="244" spans="1:16" ht="15.75" hidden="1">
      <c r="A244" s="28">
        <f t="shared" si="16"/>
        <v>82</v>
      </c>
      <c r="B244" s="14" t="s">
        <v>82</v>
      </c>
      <c r="C244" s="15" t="s">
        <v>139</v>
      </c>
      <c r="D244" s="39">
        <v>-43.6</v>
      </c>
      <c r="E244" s="33">
        <f t="shared" si="18"/>
        <v>-358451.75</v>
      </c>
      <c r="F244" s="8"/>
      <c r="G244" s="38">
        <f t="shared" si="17"/>
        <v>82</v>
      </c>
      <c r="H244" s="14" t="s">
        <v>82</v>
      </c>
      <c r="I244" s="15" t="s">
        <v>139</v>
      </c>
      <c r="J244" s="39"/>
      <c r="K244" s="33">
        <f t="shared" si="19"/>
        <v>-360429.34</v>
      </c>
      <c r="L244" s="33">
        <f t="shared" si="20"/>
        <v>43.6</v>
      </c>
      <c r="M244" s="8"/>
      <c r="N244" s="14" t="s">
        <v>19</v>
      </c>
      <c r="O244" s="15" t="s">
        <v>123</v>
      </c>
      <c r="P244" s="1">
        <v>-28162.89</v>
      </c>
    </row>
    <row r="245" spans="1:16" ht="15.75" hidden="1">
      <c r="A245" s="28">
        <f t="shared" si="16"/>
        <v>83</v>
      </c>
      <c r="B245" s="14" t="s">
        <v>83</v>
      </c>
      <c r="C245" s="15" t="s">
        <v>139</v>
      </c>
      <c r="D245" s="39">
        <v>-2205.73</v>
      </c>
      <c r="E245" s="33">
        <f t="shared" si="18"/>
        <v>-360657.48</v>
      </c>
      <c r="F245" s="8"/>
      <c r="G245" s="38">
        <f t="shared" si="17"/>
        <v>83</v>
      </c>
      <c r="H245" s="14" t="s">
        <v>83</v>
      </c>
      <c r="I245" s="15" t="s">
        <v>139</v>
      </c>
      <c r="J245" s="39">
        <v>-2161.63</v>
      </c>
      <c r="K245" s="33">
        <f t="shared" si="19"/>
        <v>-362590.97</v>
      </c>
      <c r="L245" s="33">
        <f t="shared" si="20"/>
        <v>44.099999999999902</v>
      </c>
      <c r="M245" s="8"/>
      <c r="N245" s="14" t="s">
        <v>20</v>
      </c>
      <c r="O245" s="15" t="s">
        <v>123</v>
      </c>
      <c r="P245" s="1">
        <v>-6778.76</v>
      </c>
    </row>
    <row r="246" spans="1:16" ht="15.75" hidden="1">
      <c r="A246" s="28">
        <f t="shared" si="16"/>
        <v>84</v>
      </c>
      <c r="B246" s="14" t="s">
        <v>84</v>
      </c>
      <c r="C246" s="15" t="s">
        <v>139</v>
      </c>
      <c r="D246" s="39"/>
      <c r="E246" s="33">
        <f t="shared" si="18"/>
        <v>-360657.48</v>
      </c>
      <c r="F246" s="8"/>
      <c r="G246" s="38">
        <f t="shared" si="17"/>
        <v>84</v>
      </c>
      <c r="H246" s="14" t="s">
        <v>84</v>
      </c>
      <c r="I246" s="15" t="s">
        <v>139</v>
      </c>
      <c r="J246" s="39"/>
      <c r="K246" s="33">
        <f t="shared" si="19"/>
        <v>-362590.97</v>
      </c>
      <c r="L246" s="33"/>
      <c r="M246" s="8"/>
      <c r="N246" s="43" t="s">
        <v>21</v>
      </c>
      <c r="O246" s="23" t="s">
        <v>123</v>
      </c>
      <c r="P246" s="1">
        <v>-8425.7999999999993</v>
      </c>
    </row>
    <row r="247" spans="1:16" ht="15.75" hidden="1">
      <c r="A247" s="28">
        <f t="shared" si="16"/>
        <v>85</v>
      </c>
      <c r="B247" s="14" t="s">
        <v>85</v>
      </c>
      <c r="C247" s="15" t="s">
        <v>139</v>
      </c>
      <c r="D247" s="39">
        <v>-2775.4</v>
      </c>
      <c r="E247" s="33">
        <f t="shared" si="18"/>
        <v>-363432.88</v>
      </c>
      <c r="F247" s="8"/>
      <c r="G247" s="38">
        <f t="shared" si="17"/>
        <v>85</v>
      </c>
      <c r="H247" s="14" t="s">
        <v>85</v>
      </c>
      <c r="I247" s="15" t="s">
        <v>139</v>
      </c>
      <c r="J247" s="39">
        <v>-3156.5</v>
      </c>
      <c r="K247" s="33">
        <f t="shared" si="19"/>
        <v>-365747.47</v>
      </c>
      <c r="L247" s="33">
        <f t="shared" si="20"/>
        <v>-381.1</v>
      </c>
      <c r="M247" s="8"/>
      <c r="N247" s="25" t="s">
        <v>22</v>
      </c>
      <c r="O247" s="26" t="s">
        <v>126</v>
      </c>
      <c r="P247" s="1">
        <v>2761.27</v>
      </c>
    </row>
    <row r="248" spans="1:16" ht="15.75" hidden="1">
      <c r="A248" s="28">
        <f t="shared" si="16"/>
        <v>86</v>
      </c>
      <c r="B248" s="14" t="s">
        <v>86</v>
      </c>
      <c r="C248" s="15" t="s">
        <v>139</v>
      </c>
      <c r="D248" s="39"/>
      <c r="E248" s="33">
        <f t="shared" si="18"/>
        <v>-363432.88</v>
      </c>
      <c r="F248" s="8"/>
      <c r="G248" s="38">
        <f t="shared" si="17"/>
        <v>86</v>
      </c>
      <c r="H248" s="14" t="s">
        <v>86</v>
      </c>
      <c r="I248" s="15" t="s">
        <v>139</v>
      </c>
      <c r="J248" s="39"/>
      <c r="K248" s="33">
        <f t="shared" si="19"/>
        <v>-365747.47</v>
      </c>
      <c r="L248" s="33"/>
      <c r="M248" s="8"/>
      <c r="N248" s="14" t="s">
        <v>23</v>
      </c>
      <c r="O248" s="15" t="s">
        <v>126</v>
      </c>
      <c r="P248" s="1">
        <v>-3820.65</v>
      </c>
    </row>
    <row r="249" spans="1:16" ht="15.75" hidden="1">
      <c r="A249" s="28">
        <f t="shared" si="16"/>
        <v>87</v>
      </c>
      <c r="B249" s="43" t="s">
        <v>87</v>
      </c>
      <c r="C249" s="23" t="s">
        <v>139</v>
      </c>
      <c r="D249" s="39">
        <v>-2190.44</v>
      </c>
      <c r="E249" s="44">
        <f t="shared" si="18"/>
        <v>-365623.32</v>
      </c>
      <c r="F249" s="8"/>
      <c r="G249" s="38">
        <f t="shared" si="17"/>
        <v>87</v>
      </c>
      <c r="H249" s="43" t="s">
        <v>87</v>
      </c>
      <c r="I249" s="23" t="s">
        <v>139</v>
      </c>
      <c r="J249" s="39">
        <v>-2281.84</v>
      </c>
      <c r="K249" s="33">
        <f t="shared" si="19"/>
        <v>-368029.31</v>
      </c>
      <c r="L249" s="33">
        <f t="shared" si="20"/>
        <v>-91.400000000000105</v>
      </c>
      <c r="M249" s="8"/>
      <c r="N249" s="14" t="s">
        <v>24</v>
      </c>
      <c r="O249" s="15" t="s">
        <v>126</v>
      </c>
      <c r="P249" s="1">
        <v>-564.25</v>
      </c>
    </row>
    <row r="250" spans="1:16" ht="15.75" hidden="1">
      <c r="A250" s="28">
        <f t="shared" si="16"/>
        <v>88</v>
      </c>
      <c r="B250" s="25" t="s">
        <v>88</v>
      </c>
      <c r="C250" s="26" t="s">
        <v>141</v>
      </c>
      <c r="D250" s="39">
        <v>-9319.6</v>
      </c>
      <c r="E250" s="30">
        <f t="shared" si="18"/>
        <v>-374942.92</v>
      </c>
      <c r="F250" s="8"/>
      <c r="G250" s="38">
        <f t="shared" si="17"/>
        <v>88</v>
      </c>
      <c r="H250" s="25" t="s">
        <v>88</v>
      </c>
      <c r="I250" s="26" t="s">
        <v>141</v>
      </c>
      <c r="J250" s="39">
        <v>-8570.7000000000007</v>
      </c>
      <c r="K250" s="33">
        <f t="shared" si="19"/>
        <v>-376600.01</v>
      </c>
      <c r="L250" s="33">
        <f t="shared" si="20"/>
        <v>748.9</v>
      </c>
      <c r="M250" s="8"/>
      <c r="N250" s="14" t="s">
        <v>128</v>
      </c>
      <c r="O250" s="15" t="s">
        <v>126</v>
      </c>
      <c r="P250" s="1"/>
    </row>
    <row r="251" spans="1:16" ht="15.75" hidden="1">
      <c r="A251" s="28">
        <f t="shared" si="16"/>
        <v>89</v>
      </c>
      <c r="B251" s="14" t="s">
        <v>89</v>
      </c>
      <c r="C251" s="15" t="s">
        <v>141</v>
      </c>
      <c r="D251" s="39"/>
      <c r="E251" s="33">
        <f t="shared" si="18"/>
        <v>-374942.92</v>
      </c>
      <c r="F251" s="8"/>
      <c r="G251" s="38">
        <f t="shared" si="17"/>
        <v>89</v>
      </c>
      <c r="H251" s="14" t="s">
        <v>89</v>
      </c>
      <c r="I251" s="15" t="s">
        <v>141</v>
      </c>
      <c r="J251" s="39"/>
      <c r="K251" s="33">
        <f t="shared" si="19"/>
        <v>-376600.01</v>
      </c>
      <c r="L251" s="33"/>
      <c r="M251" s="8"/>
      <c r="N251" s="47" t="s">
        <v>127</v>
      </c>
      <c r="O251" s="15" t="s">
        <v>126</v>
      </c>
      <c r="P251" s="1">
        <v>161.24</v>
      </c>
    </row>
    <row r="252" spans="1:16" ht="15.75" hidden="1">
      <c r="A252" s="28">
        <f t="shared" si="16"/>
        <v>90</v>
      </c>
      <c r="B252" s="14" t="s">
        <v>90</v>
      </c>
      <c r="C252" s="15" t="s">
        <v>141</v>
      </c>
      <c r="D252" s="39"/>
      <c r="E252" s="33">
        <f t="shared" si="18"/>
        <v>-374942.92</v>
      </c>
      <c r="F252" s="8"/>
      <c r="G252" s="38">
        <f t="shared" si="17"/>
        <v>90</v>
      </c>
      <c r="H252" s="14" t="s">
        <v>90</v>
      </c>
      <c r="I252" s="15" t="s">
        <v>141</v>
      </c>
      <c r="J252" s="39"/>
      <c r="K252" s="33">
        <f t="shared" si="19"/>
        <v>-376600.01</v>
      </c>
      <c r="L252" s="33"/>
      <c r="M252" s="8"/>
      <c r="N252" s="14" t="s">
        <v>27</v>
      </c>
      <c r="O252" s="15" t="s">
        <v>126</v>
      </c>
      <c r="P252" s="1">
        <v>-1147.9100000000001</v>
      </c>
    </row>
    <row r="253" spans="1:16" ht="15.75" hidden="1">
      <c r="A253" s="28">
        <f t="shared" si="16"/>
        <v>91</v>
      </c>
      <c r="B253" s="14" t="s">
        <v>91</v>
      </c>
      <c r="C253" s="15" t="s">
        <v>141</v>
      </c>
      <c r="D253" s="39"/>
      <c r="E253" s="33">
        <f t="shared" si="18"/>
        <v>-374942.92</v>
      </c>
      <c r="F253" s="8"/>
      <c r="G253" s="38">
        <f t="shared" si="17"/>
        <v>91</v>
      </c>
      <c r="H253" s="14" t="s">
        <v>91</v>
      </c>
      <c r="I253" s="15" t="s">
        <v>141</v>
      </c>
      <c r="J253" s="39"/>
      <c r="K253" s="33">
        <f t="shared" si="19"/>
        <v>-376600.01</v>
      </c>
      <c r="L253" s="33"/>
      <c r="M253" s="8"/>
      <c r="N253" s="14" t="s">
        <v>28</v>
      </c>
      <c r="O253" s="15" t="s">
        <v>126</v>
      </c>
      <c r="P253" s="1">
        <v>-807.14</v>
      </c>
    </row>
    <row r="254" spans="1:16" ht="15.75" hidden="1">
      <c r="A254" s="28">
        <f t="shared" si="16"/>
        <v>92</v>
      </c>
      <c r="B254" s="14" t="s">
        <v>92</v>
      </c>
      <c r="C254" s="15" t="s">
        <v>141</v>
      </c>
      <c r="D254" s="39">
        <v>-2528.85</v>
      </c>
      <c r="E254" s="33">
        <f t="shared" si="18"/>
        <v>-377471.77</v>
      </c>
      <c r="F254" s="8"/>
      <c r="G254" s="38">
        <f t="shared" si="17"/>
        <v>92</v>
      </c>
      <c r="H254" s="14" t="s">
        <v>92</v>
      </c>
      <c r="I254" s="15" t="s">
        <v>141</v>
      </c>
      <c r="J254" s="39">
        <v>-2228.75</v>
      </c>
      <c r="K254" s="33">
        <f t="shared" si="19"/>
        <v>-378828.76</v>
      </c>
      <c r="L254" s="33">
        <f t="shared" si="20"/>
        <v>300.10000000000002</v>
      </c>
      <c r="M254" s="8"/>
      <c r="N254" s="25" t="s">
        <v>29</v>
      </c>
      <c r="O254" s="26" t="s">
        <v>129</v>
      </c>
      <c r="P254" s="1"/>
    </row>
    <row r="255" spans="1:16" ht="15.75" hidden="1">
      <c r="A255" s="28">
        <f t="shared" si="16"/>
        <v>93</v>
      </c>
      <c r="B255" s="14" t="s">
        <v>93</v>
      </c>
      <c r="C255" s="15" t="s">
        <v>141</v>
      </c>
      <c r="D255" s="39">
        <v>-4950.3</v>
      </c>
      <c r="E255" s="33">
        <f t="shared" si="18"/>
        <v>-382422.07</v>
      </c>
      <c r="F255" s="8"/>
      <c r="G255" s="38">
        <f t="shared" si="17"/>
        <v>93</v>
      </c>
      <c r="H255" s="14" t="s">
        <v>93</v>
      </c>
      <c r="I255" s="15" t="s">
        <v>141</v>
      </c>
      <c r="J255" s="39">
        <v>-5543.1</v>
      </c>
      <c r="K255" s="33">
        <f t="shared" si="19"/>
        <v>-384371.86</v>
      </c>
      <c r="L255" s="33">
        <f t="shared" si="20"/>
        <v>-592.79999999999995</v>
      </c>
      <c r="M255" s="8"/>
      <c r="N255" s="14" t="s">
        <v>30</v>
      </c>
      <c r="O255" s="15" t="s">
        <v>129</v>
      </c>
      <c r="P255" s="1"/>
    </row>
    <row r="256" spans="1:16" ht="15.75" hidden="1">
      <c r="A256" s="28">
        <f>A255+1</f>
        <v>94</v>
      </c>
      <c r="B256" s="51" t="s">
        <v>94</v>
      </c>
      <c r="C256" s="52" t="s">
        <v>141</v>
      </c>
      <c r="D256" s="39">
        <v>-8090.43</v>
      </c>
      <c r="E256" s="44">
        <f t="shared" si="18"/>
        <v>-390512.5</v>
      </c>
      <c r="F256" s="8"/>
      <c r="G256" s="38">
        <f>G255+1</f>
        <v>94</v>
      </c>
      <c r="H256" s="51" t="s">
        <v>94</v>
      </c>
      <c r="I256" s="52" t="s">
        <v>141</v>
      </c>
      <c r="J256" s="39">
        <v>-8111.93</v>
      </c>
      <c r="K256" s="33">
        <f t="shared" si="19"/>
        <v>-392483.79</v>
      </c>
      <c r="L256" s="33">
        <f t="shared" si="20"/>
        <v>-21.5</v>
      </c>
      <c r="M256" s="8"/>
      <c r="N256" s="14" t="s">
        <v>31</v>
      </c>
      <c r="O256" s="15" t="s">
        <v>129</v>
      </c>
      <c r="P256" s="1">
        <v>-1594.7</v>
      </c>
    </row>
    <row r="257" spans="1:16" ht="15.75" hidden="1">
      <c r="A257" s="28">
        <f>A256+1</f>
        <v>95</v>
      </c>
      <c r="B257" s="50" t="s">
        <v>95</v>
      </c>
      <c r="C257" s="49" t="s">
        <v>106</v>
      </c>
      <c r="D257" s="39"/>
      <c r="E257" s="33">
        <f t="shared" si="18"/>
        <v>-390512.5</v>
      </c>
      <c r="F257" s="8"/>
      <c r="G257" s="38">
        <f>G256+1</f>
        <v>95</v>
      </c>
      <c r="H257" s="50" t="s">
        <v>95</v>
      </c>
      <c r="I257" s="49" t="s">
        <v>106</v>
      </c>
      <c r="J257" s="39"/>
      <c r="K257" s="33">
        <f t="shared" si="19"/>
        <v>-392483.79</v>
      </c>
      <c r="L257" s="33"/>
      <c r="M257" s="8"/>
      <c r="N257" s="14" t="s">
        <v>32</v>
      </c>
      <c r="O257" s="15" t="s">
        <v>129</v>
      </c>
      <c r="P257" s="1"/>
    </row>
    <row r="258" spans="1:16" ht="15.75" hidden="1">
      <c r="A258" s="28">
        <f>A257+1</f>
        <v>96</v>
      </c>
      <c r="B258" s="14" t="s">
        <v>96</v>
      </c>
      <c r="C258" s="15" t="s">
        <v>106</v>
      </c>
      <c r="D258" s="39"/>
      <c r="E258" s="33">
        <f t="shared" si="18"/>
        <v>-390512.5</v>
      </c>
      <c r="F258" s="8"/>
      <c r="G258" s="38">
        <f>G257+1</f>
        <v>96</v>
      </c>
      <c r="H258" s="14" t="s">
        <v>96</v>
      </c>
      <c r="I258" s="15" t="s">
        <v>106</v>
      </c>
      <c r="J258" s="39"/>
      <c r="K258" s="33">
        <f t="shared" si="19"/>
        <v>-392483.79</v>
      </c>
      <c r="L258" s="33"/>
      <c r="M258" s="8"/>
      <c r="N258" s="14" t="s">
        <v>33</v>
      </c>
      <c r="O258" s="15" t="s">
        <v>129</v>
      </c>
      <c r="P258" s="1">
        <v>504.15</v>
      </c>
    </row>
    <row r="259" spans="1:16" ht="15.75" hidden="1">
      <c r="A259" s="28">
        <f>A258+1</f>
        <v>97</v>
      </c>
      <c r="B259" s="22" t="s">
        <v>116</v>
      </c>
      <c r="C259" s="23" t="s">
        <v>106</v>
      </c>
      <c r="D259" s="39"/>
      <c r="E259" s="44">
        <f t="shared" si="18"/>
        <v>-390512.5</v>
      </c>
      <c r="F259" s="8"/>
      <c r="G259" s="53">
        <f>G258+1</f>
        <v>97</v>
      </c>
      <c r="H259" s="22" t="s">
        <v>116</v>
      </c>
      <c r="I259" s="23" t="s">
        <v>106</v>
      </c>
      <c r="J259" s="39"/>
      <c r="K259" s="33">
        <f t="shared" si="19"/>
        <v>-392483.79</v>
      </c>
      <c r="L259" s="33"/>
      <c r="M259" s="8"/>
      <c r="N259" s="14" t="s">
        <v>34</v>
      </c>
      <c r="O259" s="15" t="s">
        <v>129</v>
      </c>
      <c r="P259" s="1">
        <v>-9579.1299999999992</v>
      </c>
    </row>
    <row r="260" spans="1:16" ht="15.75" hidden="1">
      <c r="A260" s="28">
        <f>A259+1</f>
        <v>98</v>
      </c>
      <c r="B260" s="8" t="s">
        <v>120</v>
      </c>
      <c r="C260" s="23" t="s">
        <v>106</v>
      </c>
      <c r="D260" s="55">
        <v>-2372.4</v>
      </c>
      <c r="E260" s="44">
        <f t="shared" si="18"/>
        <v>-392884.9</v>
      </c>
      <c r="F260" s="8"/>
      <c r="G260" s="53">
        <f>G259+1</f>
        <v>98</v>
      </c>
      <c r="H260" s="8" t="s">
        <v>120</v>
      </c>
      <c r="I260" s="23" t="s">
        <v>106</v>
      </c>
      <c r="J260" s="55">
        <v>-2836.5</v>
      </c>
      <c r="K260" s="33">
        <f t="shared" si="19"/>
        <v>-395320.29</v>
      </c>
      <c r="L260" s="33">
        <f>J260-D260</f>
        <v>-464.1</v>
      </c>
      <c r="M260" s="8"/>
      <c r="N260" s="14" t="s">
        <v>131</v>
      </c>
      <c r="O260" s="15" t="s">
        <v>129</v>
      </c>
      <c r="P260" s="1"/>
    </row>
    <row r="261" spans="1:16" ht="15.75" hidden="1">
      <c r="A261" s="56"/>
      <c r="B261" s="57" t="s">
        <v>102</v>
      </c>
      <c r="C261" s="58"/>
      <c r="D261" s="59">
        <f>SUM(D163:D260)</f>
        <v>-392884.9</v>
      </c>
      <c r="E261" s="59">
        <f>E260</f>
        <v>-392884.9</v>
      </c>
      <c r="F261" s="60"/>
      <c r="G261" s="60"/>
      <c r="H261" s="57" t="s">
        <v>102</v>
      </c>
      <c r="I261" s="60"/>
      <c r="J261" s="59">
        <f>SUM(J163:J260)</f>
        <v>-395320.29</v>
      </c>
      <c r="K261" s="59">
        <f>K260</f>
        <v>-395320.29</v>
      </c>
      <c r="L261" s="59">
        <f>J261-D261</f>
        <v>-2435.3899999999599</v>
      </c>
      <c r="M261" s="8"/>
      <c r="N261" s="14" t="s">
        <v>36</v>
      </c>
      <c r="O261" s="15" t="s">
        <v>129</v>
      </c>
      <c r="P261" s="1">
        <v>-4136.63</v>
      </c>
    </row>
    <row r="262" spans="1:16" ht="15.75" hidden="1">
      <c r="A262" s="61"/>
      <c r="B262" s="61"/>
      <c r="C262" s="61"/>
      <c r="D262" s="8"/>
      <c r="E262" s="8"/>
      <c r="F262" s="8"/>
      <c r="G262" s="8"/>
      <c r="H262" s="8"/>
      <c r="I262" s="8"/>
      <c r="J262" s="8"/>
      <c r="K262" s="8"/>
      <c r="L262" s="8"/>
      <c r="M262" s="62">
        <f>J261-D261</f>
        <v>-2435.3899999999599</v>
      </c>
      <c r="N262" s="14" t="s">
        <v>37</v>
      </c>
      <c r="O262" s="15" t="s">
        <v>129</v>
      </c>
      <c r="P262" s="1">
        <v>-12284.43</v>
      </c>
    </row>
    <row r="263" spans="1:16" ht="15.75" hidden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62">
        <f>SUM(J163:J260)</f>
        <v>-395320.29</v>
      </c>
      <c r="N263" s="43" t="s">
        <v>38</v>
      </c>
      <c r="O263" s="23" t="s">
        <v>130</v>
      </c>
      <c r="P263" s="1">
        <v>-294.2</v>
      </c>
    </row>
    <row r="264" spans="1:16" ht="15.75" hidden="1">
      <c r="A264" s="127" t="s">
        <v>143</v>
      </c>
      <c r="B264" s="128"/>
      <c r="C264" s="128"/>
      <c r="D264" s="128"/>
      <c r="E264" s="129"/>
      <c r="F264" s="12"/>
      <c r="G264" s="127" t="s">
        <v>147</v>
      </c>
      <c r="H264" s="128"/>
      <c r="I264" s="128"/>
      <c r="J264" s="128"/>
      <c r="K264" s="129"/>
      <c r="L264" s="130" t="s">
        <v>146</v>
      </c>
      <c r="M264" s="62">
        <f>SUM(D163:D260)</f>
        <v>-392884.9</v>
      </c>
      <c r="N264" s="25" t="s">
        <v>39</v>
      </c>
      <c r="O264" s="26" t="s">
        <v>132</v>
      </c>
      <c r="P264" s="1">
        <v>2951.55</v>
      </c>
    </row>
    <row r="265" spans="1:16" ht="31.5" hidden="1">
      <c r="A265" s="18" t="s">
        <v>112</v>
      </c>
      <c r="B265" s="19" t="s">
        <v>0</v>
      </c>
      <c r="C265" s="12" t="s">
        <v>113</v>
      </c>
      <c r="D265" s="20" t="s">
        <v>114</v>
      </c>
      <c r="E265" s="20" t="s">
        <v>115</v>
      </c>
      <c r="F265" s="63"/>
      <c r="G265" s="13" t="s">
        <v>112</v>
      </c>
      <c r="H265" s="12" t="s">
        <v>0</v>
      </c>
      <c r="I265" s="12" t="s">
        <v>113</v>
      </c>
      <c r="J265" s="12"/>
      <c r="K265" s="12" t="s">
        <v>115</v>
      </c>
      <c r="L265" s="131"/>
      <c r="M265" s="62">
        <f>M263-M264</f>
        <v>-2435.3899999999599</v>
      </c>
      <c r="N265" s="14" t="s">
        <v>40</v>
      </c>
      <c r="O265" s="15" t="s">
        <v>132</v>
      </c>
      <c r="P265" s="1">
        <v>366.34</v>
      </c>
    </row>
    <row r="266" spans="1:16" ht="15.75" hidden="1">
      <c r="A266" s="64">
        <v>1</v>
      </c>
      <c r="B266" s="14" t="s">
        <v>8</v>
      </c>
      <c r="C266" s="15" t="s">
        <v>119</v>
      </c>
      <c r="D266" s="32">
        <v>843.1</v>
      </c>
      <c r="E266" s="66">
        <f>D266</f>
        <v>843.1</v>
      </c>
      <c r="F266" s="67"/>
      <c r="G266" s="68">
        <v>1</v>
      </c>
      <c r="H266" s="14" t="s">
        <v>8</v>
      </c>
      <c r="I266" s="15" t="s">
        <v>119</v>
      </c>
      <c r="J266" s="32">
        <v>800.32</v>
      </c>
      <c r="K266" s="69">
        <f>J266</f>
        <v>800.32</v>
      </c>
      <c r="L266" s="70">
        <f>J266-D266</f>
        <v>-42.78</v>
      </c>
      <c r="M266" s="62"/>
      <c r="N266" s="14" t="s">
        <v>41</v>
      </c>
      <c r="O266" s="15" t="s">
        <v>132</v>
      </c>
      <c r="P266" s="1">
        <v>-15962.04</v>
      </c>
    </row>
    <row r="267" spans="1:16" ht="15.75" hidden="1">
      <c r="A267" s="71">
        <f>1+A266</f>
        <v>2</v>
      </c>
      <c r="B267" s="25" t="s">
        <v>3</v>
      </c>
      <c r="C267" s="15" t="s">
        <v>119</v>
      </c>
      <c r="D267" s="72"/>
      <c r="E267" s="73">
        <f>D267+E266</f>
        <v>843.1</v>
      </c>
      <c r="F267" s="74"/>
      <c r="G267" s="75">
        <f>1+G266</f>
        <v>2</v>
      </c>
      <c r="H267" s="25" t="s">
        <v>3</v>
      </c>
      <c r="I267" s="15" t="s">
        <v>119</v>
      </c>
      <c r="J267" s="72"/>
      <c r="K267" s="69">
        <f>K266+J267</f>
        <v>800.32</v>
      </c>
      <c r="L267" s="70"/>
      <c r="M267" s="62"/>
      <c r="N267" s="14" t="s">
        <v>42</v>
      </c>
      <c r="O267" s="15" t="s">
        <v>132</v>
      </c>
      <c r="P267" s="1">
        <v>-1981.66</v>
      </c>
    </row>
    <row r="268" spans="1:16" ht="15.75" hidden="1">
      <c r="A268" s="71">
        <f t="shared" ref="A268:A317" si="21">1+A267</f>
        <v>3</v>
      </c>
      <c r="B268" s="25" t="s">
        <v>10</v>
      </c>
      <c r="C268" s="15" t="s">
        <v>119</v>
      </c>
      <c r="D268" s="76"/>
      <c r="E268" s="73">
        <f t="shared" ref="E268:E317" si="22">D268+E267</f>
        <v>843.1</v>
      </c>
      <c r="F268" s="77"/>
      <c r="G268" s="75">
        <f t="shared" ref="G268:G317" si="23">1+G267</f>
        <v>3</v>
      </c>
      <c r="H268" s="25" t="s">
        <v>10</v>
      </c>
      <c r="I268" s="15" t="s">
        <v>119</v>
      </c>
      <c r="J268" s="76"/>
      <c r="K268" s="69">
        <f t="shared" ref="K268:K317" si="24">K267+J268</f>
        <v>800.32</v>
      </c>
      <c r="L268" s="70"/>
      <c r="M268" s="62"/>
      <c r="N268" s="14" t="s">
        <v>43</v>
      </c>
      <c r="O268" s="15" t="s">
        <v>132</v>
      </c>
      <c r="P268" s="1">
        <v>-5.8</v>
      </c>
    </row>
    <row r="269" spans="1:16" ht="15.75" hidden="1">
      <c r="A269" s="71">
        <f t="shared" si="21"/>
        <v>4</v>
      </c>
      <c r="B269" s="78" t="s">
        <v>11</v>
      </c>
      <c r="C269" s="79" t="s">
        <v>119</v>
      </c>
      <c r="D269" s="39">
        <v>282.98</v>
      </c>
      <c r="E269" s="73">
        <f t="shared" si="22"/>
        <v>1126.08</v>
      </c>
      <c r="F269" s="77"/>
      <c r="G269" s="75">
        <f t="shared" si="23"/>
        <v>4</v>
      </c>
      <c r="H269" s="43" t="s">
        <v>11</v>
      </c>
      <c r="I269" s="23" t="s">
        <v>119</v>
      </c>
      <c r="J269" s="39">
        <v>395.38</v>
      </c>
      <c r="K269" s="69">
        <f t="shared" si="24"/>
        <v>1195.7</v>
      </c>
      <c r="L269" s="70">
        <f t="shared" ref="L269:L316" si="25">J269-D269</f>
        <v>112.4</v>
      </c>
      <c r="M269" s="62"/>
      <c r="N269" s="14" t="s">
        <v>44</v>
      </c>
      <c r="O269" s="15" t="s">
        <v>132</v>
      </c>
      <c r="P269" s="1">
        <v>-3104.18</v>
      </c>
    </row>
    <row r="270" spans="1:16" ht="18.600000000000001" hidden="1" customHeight="1">
      <c r="A270" s="71">
        <f t="shared" si="21"/>
        <v>5</v>
      </c>
      <c r="B270" s="14" t="s">
        <v>22</v>
      </c>
      <c r="C270" s="15" t="s">
        <v>126</v>
      </c>
      <c r="D270" s="39">
        <v>3540.17</v>
      </c>
      <c r="E270" s="73">
        <f t="shared" si="22"/>
        <v>4666.25</v>
      </c>
      <c r="F270" s="77"/>
      <c r="G270" s="75">
        <f t="shared" si="23"/>
        <v>5</v>
      </c>
      <c r="H270" s="14" t="s">
        <v>22</v>
      </c>
      <c r="I270" s="15" t="s">
        <v>126</v>
      </c>
      <c r="J270" s="39">
        <v>2761.27</v>
      </c>
      <c r="K270" s="69">
        <f t="shared" si="24"/>
        <v>3956.97</v>
      </c>
      <c r="L270" s="70">
        <f t="shared" si="25"/>
        <v>-778.9</v>
      </c>
      <c r="M270" s="62"/>
      <c r="N270" s="48" t="s">
        <v>45</v>
      </c>
      <c r="O270" s="49" t="s">
        <v>132</v>
      </c>
      <c r="P270" s="1">
        <v>730.47</v>
      </c>
    </row>
    <row r="271" spans="1:16" ht="15.75" hidden="1">
      <c r="A271" s="71">
        <f t="shared" si="21"/>
        <v>6</v>
      </c>
      <c r="B271" s="14" t="s">
        <v>23</v>
      </c>
      <c r="C271" s="15" t="s">
        <v>126</v>
      </c>
      <c r="D271" s="76"/>
      <c r="E271" s="73">
        <f t="shared" si="22"/>
        <v>4666.25</v>
      </c>
      <c r="F271" s="77"/>
      <c r="G271" s="75">
        <f t="shared" si="23"/>
        <v>6</v>
      </c>
      <c r="H271" s="14" t="s">
        <v>23</v>
      </c>
      <c r="I271" s="15" t="s">
        <v>126</v>
      </c>
      <c r="J271" s="76"/>
      <c r="K271" s="69">
        <f t="shared" si="24"/>
        <v>3956.97</v>
      </c>
      <c r="L271" s="70"/>
      <c r="M271" s="62"/>
      <c r="N271" s="50" t="s">
        <v>46</v>
      </c>
      <c r="O271" s="49" t="s">
        <v>132</v>
      </c>
      <c r="P271" s="1">
        <v>-19109.8</v>
      </c>
    </row>
    <row r="272" spans="1:16" ht="15.75" hidden="1">
      <c r="A272" s="71">
        <f t="shared" si="21"/>
        <v>7</v>
      </c>
      <c r="B272" s="14" t="s">
        <v>24</v>
      </c>
      <c r="C272" s="15" t="s">
        <v>126</v>
      </c>
      <c r="D272" s="76"/>
      <c r="E272" s="73">
        <f t="shared" si="22"/>
        <v>4666.25</v>
      </c>
      <c r="F272" s="77"/>
      <c r="G272" s="75">
        <f t="shared" si="23"/>
        <v>7</v>
      </c>
      <c r="H272" s="14" t="s">
        <v>24</v>
      </c>
      <c r="I272" s="15" t="s">
        <v>126</v>
      </c>
      <c r="J272" s="76"/>
      <c r="K272" s="69">
        <f t="shared" si="24"/>
        <v>3956.97</v>
      </c>
      <c r="L272" s="70"/>
      <c r="M272" s="62"/>
      <c r="N272" s="14" t="s">
        <v>47</v>
      </c>
      <c r="O272" s="15" t="s">
        <v>132</v>
      </c>
      <c r="P272" s="1">
        <v>-166.97</v>
      </c>
    </row>
    <row r="273" spans="1:16" ht="15.75" hidden="1">
      <c r="A273" s="71">
        <f t="shared" si="21"/>
        <v>8</v>
      </c>
      <c r="B273" s="14" t="s">
        <v>33</v>
      </c>
      <c r="C273" s="15" t="s">
        <v>126</v>
      </c>
      <c r="D273" s="39">
        <v>595.95000000000005</v>
      </c>
      <c r="E273" s="73">
        <f t="shared" si="22"/>
        <v>5262.2</v>
      </c>
      <c r="F273" s="77"/>
      <c r="G273" s="75">
        <f t="shared" si="23"/>
        <v>8</v>
      </c>
      <c r="H273" s="14" t="s">
        <v>33</v>
      </c>
      <c r="I273" s="15" t="s">
        <v>126</v>
      </c>
      <c r="J273" s="39">
        <v>504.15</v>
      </c>
      <c r="K273" s="69">
        <f t="shared" si="24"/>
        <v>4461.12</v>
      </c>
      <c r="L273" s="70">
        <f t="shared" si="25"/>
        <v>-91.800000000000097</v>
      </c>
      <c r="M273" s="62"/>
      <c r="N273" s="14" t="s">
        <v>48</v>
      </c>
      <c r="O273" s="15" t="s">
        <v>132</v>
      </c>
      <c r="P273" s="1">
        <v>-438.92</v>
      </c>
    </row>
    <row r="274" spans="1:16" ht="15.75" hidden="1">
      <c r="A274" s="71">
        <f t="shared" si="21"/>
        <v>9</v>
      </c>
      <c r="B274" s="47" t="s">
        <v>127</v>
      </c>
      <c r="C274" s="15" t="s">
        <v>126</v>
      </c>
      <c r="D274" s="39">
        <v>194.74</v>
      </c>
      <c r="E274" s="73">
        <f t="shared" si="22"/>
        <v>5456.94</v>
      </c>
      <c r="F274" s="77"/>
      <c r="G274" s="75">
        <f t="shared" si="23"/>
        <v>9</v>
      </c>
      <c r="H274" s="47" t="s">
        <v>127</v>
      </c>
      <c r="I274" s="15" t="s">
        <v>126</v>
      </c>
      <c r="J274" s="39">
        <v>161.24</v>
      </c>
      <c r="K274" s="69">
        <f t="shared" si="24"/>
        <v>4622.3599999999997</v>
      </c>
      <c r="L274" s="70">
        <f t="shared" si="25"/>
        <v>-33.5</v>
      </c>
      <c r="M274" s="62"/>
      <c r="N274" s="14" t="s">
        <v>49</v>
      </c>
      <c r="O274" s="15" t="s">
        <v>132</v>
      </c>
      <c r="P274" s="1">
        <v>-1037.22</v>
      </c>
    </row>
    <row r="275" spans="1:16" ht="15.75" hidden="1">
      <c r="A275" s="71">
        <f t="shared" si="21"/>
        <v>10</v>
      </c>
      <c r="B275" s="14" t="s">
        <v>40</v>
      </c>
      <c r="C275" s="15" t="s">
        <v>129</v>
      </c>
      <c r="D275" s="39">
        <v>293.64</v>
      </c>
      <c r="E275" s="73">
        <f t="shared" si="22"/>
        <v>5750.58</v>
      </c>
      <c r="F275" s="77"/>
      <c r="G275" s="75">
        <f t="shared" si="23"/>
        <v>10</v>
      </c>
      <c r="H275" s="14" t="s">
        <v>40</v>
      </c>
      <c r="I275" s="15" t="s">
        <v>129</v>
      </c>
      <c r="J275" s="39">
        <v>366.34</v>
      </c>
      <c r="K275" s="69">
        <f t="shared" si="24"/>
        <v>4988.7</v>
      </c>
      <c r="L275" s="70">
        <f t="shared" si="25"/>
        <v>72.7</v>
      </c>
      <c r="M275" s="62"/>
      <c r="N275" s="14" t="s">
        <v>50</v>
      </c>
      <c r="O275" s="15" t="s">
        <v>132</v>
      </c>
      <c r="P275" s="1">
        <v>-487.66</v>
      </c>
    </row>
    <row r="276" spans="1:16" ht="15.75" hidden="1">
      <c r="A276" s="71">
        <f t="shared" si="21"/>
        <v>11</v>
      </c>
      <c r="B276" s="43" t="s">
        <v>38</v>
      </c>
      <c r="C276" s="15" t="s">
        <v>130</v>
      </c>
      <c r="D276" s="72"/>
      <c r="E276" s="73">
        <f t="shared" si="22"/>
        <v>5750.58</v>
      </c>
      <c r="F276" s="77"/>
      <c r="G276" s="75">
        <f t="shared" si="23"/>
        <v>11</v>
      </c>
      <c r="H276" s="43" t="s">
        <v>38</v>
      </c>
      <c r="I276" s="23" t="s">
        <v>130</v>
      </c>
      <c r="J276" s="72"/>
      <c r="K276" s="69">
        <f t="shared" si="24"/>
        <v>4988.7</v>
      </c>
      <c r="L276" s="70"/>
      <c r="M276" s="62"/>
      <c r="N276" s="25" t="s">
        <v>51</v>
      </c>
      <c r="O276" s="26" t="s">
        <v>133</v>
      </c>
      <c r="P276" s="1">
        <v>-385.24</v>
      </c>
    </row>
    <row r="277" spans="1:16" ht="15.75" hidden="1">
      <c r="A277" s="71">
        <f t="shared" si="21"/>
        <v>12</v>
      </c>
      <c r="B277" s="25" t="s">
        <v>39</v>
      </c>
      <c r="C277" s="26" t="s">
        <v>132</v>
      </c>
      <c r="D277" s="39">
        <v>2656.45</v>
      </c>
      <c r="E277" s="73">
        <f t="shared" si="22"/>
        <v>8407.0300000000007</v>
      </c>
      <c r="F277" s="77"/>
      <c r="G277" s="75">
        <f t="shared" si="23"/>
        <v>12</v>
      </c>
      <c r="H277" s="25" t="s">
        <v>39</v>
      </c>
      <c r="I277" s="26" t="s">
        <v>132</v>
      </c>
      <c r="J277" s="39">
        <v>2951.55</v>
      </c>
      <c r="K277" s="69">
        <f t="shared" si="24"/>
        <v>7940.25</v>
      </c>
      <c r="L277" s="70">
        <f t="shared" si="25"/>
        <v>295.10000000000002</v>
      </c>
      <c r="M277" s="62"/>
      <c r="N277" s="14" t="s">
        <v>52</v>
      </c>
      <c r="O277" s="15" t="s">
        <v>133</v>
      </c>
      <c r="P277" s="1">
        <v>266.27999999999997</v>
      </c>
    </row>
    <row r="278" spans="1:16" ht="15.75" hidden="1">
      <c r="A278" s="71">
        <f t="shared" si="21"/>
        <v>13</v>
      </c>
      <c r="B278" s="14" t="s">
        <v>42</v>
      </c>
      <c r="C278" s="15" t="s">
        <v>132</v>
      </c>
      <c r="D278" s="80"/>
      <c r="E278" s="73">
        <f t="shared" si="22"/>
        <v>8407.0300000000007</v>
      </c>
      <c r="F278" s="77"/>
      <c r="G278" s="75">
        <f t="shared" si="23"/>
        <v>13</v>
      </c>
      <c r="H278" s="14" t="s">
        <v>42</v>
      </c>
      <c r="I278" s="15" t="s">
        <v>132</v>
      </c>
      <c r="J278" s="80"/>
      <c r="K278" s="69">
        <f t="shared" si="24"/>
        <v>7940.25</v>
      </c>
      <c r="L278" s="70"/>
      <c r="M278" s="62"/>
      <c r="N278" s="14" t="s">
        <v>53</v>
      </c>
      <c r="O278" s="15" t="s">
        <v>133</v>
      </c>
      <c r="P278" s="1">
        <v>-1654.56</v>
      </c>
    </row>
    <row r="279" spans="1:16" ht="15.75" hidden="1">
      <c r="A279" s="71">
        <f t="shared" si="21"/>
        <v>14</v>
      </c>
      <c r="B279" s="48" t="s">
        <v>45</v>
      </c>
      <c r="C279" s="49" t="s">
        <v>132</v>
      </c>
      <c r="D279" s="39">
        <v>559.87</v>
      </c>
      <c r="E279" s="73">
        <f t="shared" si="22"/>
        <v>8966.9</v>
      </c>
      <c r="F279" s="77"/>
      <c r="G279" s="75">
        <f t="shared" si="23"/>
        <v>14</v>
      </c>
      <c r="H279" s="48" t="s">
        <v>45</v>
      </c>
      <c r="I279" s="49" t="s">
        <v>132</v>
      </c>
      <c r="J279" s="39">
        <v>730.47</v>
      </c>
      <c r="K279" s="69">
        <f t="shared" si="24"/>
        <v>8670.7199999999993</v>
      </c>
      <c r="L279" s="70">
        <f t="shared" si="25"/>
        <v>170.6</v>
      </c>
      <c r="M279" s="62"/>
      <c r="N279" s="14" t="s">
        <v>54</v>
      </c>
      <c r="O279" s="15" t="s">
        <v>133</v>
      </c>
      <c r="P279" s="1">
        <v>3387.7570000000001</v>
      </c>
    </row>
    <row r="280" spans="1:16" ht="15.75" hidden="1">
      <c r="A280" s="71">
        <f t="shared" si="21"/>
        <v>15</v>
      </c>
      <c r="B280" s="14" t="s">
        <v>47</v>
      </c>
      <c r="C280" s="15" t="s">
        <v>132</v>
      </c>
      <c r="D280" s="37"/>
      <c r="E280" s="73">
        <f t="shared" si="22"/>
        <v>8966.9</v>
      </c>
      <c r="F280" s="77"/>
      <c r="G280" s="75">
        <f t="shared" si="23"/>
        <v>15</v>
      </c>
      <c r="H280" s="14" t="s">
        <v>47</v>
      </c>
      <c r="I280" s="15" t="s">
        <v>132</v>
      </c>
      <c r="J280" s="37"/>
      <c r="K280" s="69">
        <f t="shared" si="24"/>
        <v>8670.7199999999993</v>
      </c>
      <c r="L280" s="70"/>
      <c r="M280" s="62"/>
      <c r="N280" s="14" t="s">
        <v>55</v>
      </c>
      <c r="O280" s="15" t="s">
        <v>133</v>
      </c>
      <c r="P280" s="1">
        <v>-5398.13</v>
      </c>
    </row>
    <row r="281" spans="1:16" ht="15.75" hidden="1">
      <c r="A281" s="71">
        <f t="shared" si="21"/>
        <v>16</v>
      </c>
      <c r="B281" s="14" t="s">
        <v>48</v>
      </c>
      <c r="C281" s="15" t="s">
        <v>132</v>
      </c>
      <c r="D281" s="76"/>
      <c r="E281" s="73">
        <f t="shared" si="22"/>
        <v>8966.9</v>
      </c>
      <c r="F281" s="77"/>
      <c r="G281" s="75">
        <f t="shared" si="23"/>
        <v>16</v>
      </c>
      <c r="H281" s="14" t="s">
        <v>48</v>
      </c>
      <c r="I281" s="15" t="s">
        <v>132</v>
      </c>
      <c r="J281" s="76"/>
      <c r="K281" s="69">
        <f t="shared" si="24"/>
        <v>8670.7199999999993</v>
      </c>
      <c r="L281" s="70"/>
      <c r="M281" s="62"/>
      <c r="N281" s="14" t="s">
        <v>56</v>
      </c>
      <c r="O281" s="15" t="s">
        <v>133</v>
      </c>
      <c r="P281" s="1">
        <v>-4125.62</v>
      </c>
    </row>
    <row r="282" spans="1:16" ht="15.75" hidden="1">
      <c r="A282" s="71">
        <f t="shared" si="21"/>
        <v>17</v>
      </c>
      <c r="B282" s="14" t="s">
        <v>49</v>
      </c>
      <c r="C282" s="15" t="s">
        <v>132</v>
      </c>
      <c r="D282" s="72"/>
      <c r="E282" s="73">
        <f t="shared" si="22"/>
        <v>8966.9</v>
      </c>
      <c r="F282" s="77"/>
      <c r="G282" s="75">
        <f t="shared" si="23"/>
        <v>17</v>
      </c>
      <c r="H282" s="14" t="s">
        <v>49</v>
      </c>
      <c r="I282" s="15" t="s">
        <v>132</v>
      </c>
      <c r="J282" s="72"/>
      <c r="K282" s="69">
        <f t="shared" si="24"/>
        <v>8670.7199999999993</v>
      </c>
      <c r="L282" s="70"/>
      <c r="M282" s="62"/>
      <c r="N282" s="14" t="s">
        <v>57</v>
      </c>
      <c r="O282" s="15" t="s">
        <v>133</v>
      </c>
      <c r="P282" s="1">
        <v>126.72</v>
      </c>
    </row>
    <row r="283" spans="1:16" ht="15.75" hidden="1">
      <c r="A283" s="71">
        <f t="shared" si="21"/>
        <v>18</v>
      </c>
      <c r="B283" s="14" t="s">
        <v>50</v>
      </c>
      <c r="C283" s="15" t="s">
        <v>132</v>
      </c>
      <c r="D283" s="76"/>
      <c r="E283" s="73">
        <f t="shared" si="22"/>
        <v>8966.9</v>
      </c>
      <c r="F283" s="77"/>
      <c r="G283" s="75">
        <f t="shared" si="23"/>
        <v>18</v>
      </c>
      <c r="H283" s="14" t="s">
        <v>50</v>
      </c>
      <c r="I283" s="15" t="s">
        <v>132</v>
      </c>
      <c r="J283" s="76"/>
      <c r="K283" s="69">
        <f t="shared" si="24"/>
        <v>8670.7199999999993</v>
      </c>
      <c r="L283" s="70"/>
      <c r="M283" s="62"/>
      <c r="N283" s="43" t="s">
        <v>58</v>
      </c>
      <c r="O283" s="23" t="s">
        <v>133</v>
      </c>
      <c r="P283" s="1">
        <v>-10428.1</v>
      </c>
    </row>
    <row r="284" spans="1:16" ht="15.75" hidden="1">
      <c r="A284" s="71">
        <f t="shared" si="21"/>
        <v>19</v>
      </c>
      <c r="B284" s="25" t="s">
        <v>51</v>
      </c>
      <c r="C284" s="81" t="s">
        <v>133</v>
      </c>
      <c r="D284" s="72"/>
      <c r="E284" s="73">
        <f t="shared" si="22"/>
        <v>8966.9</v>
      </c>
      <c r="F284" s="77"/>
      <c r="G284" s="75">
        <f t="shared" si="23"/>
        <v>19</v>
      </c>
      <c r="H284" s="25" t="s">
        <v>51</v>
      </c>
      <c r="I284" s="26" t="s">
        <v>133</v>
      </c>
      <c r="J284" s="72"/>
      <c r="K284" s="69">
        <f t="shared" si="24"/>
        <v>8670.7199999999993</v>
      </c>
      <c r="L284" s="70"/>
      <c r="M284" s="62"/>
      <c r="N284" s="25" t="s">
        <v>59</v>
      </c>
      <c r="O284" s="26" t="s">
        <v>134</v>
      </c>
      <c r="P284" s="1">
        <v>494.51</v>
      </c>
    </row>
    <row r="285" spans="1:16" ht="15.75" hidden="1">
      <c r="A285" s="71">
        <f t="shared" si="21"/>
        <v>20</v>
      </c>
      <c r="B285" s="14" t="s">
        <v>52</v>
      </c>
      <c r="C285" s="15" t="s">
        <v>133</v>
      </c>
      <c r="D285" s="39">
        <v>389.98</v>
      </c>
      <c r="E285" s="73">
        <f t="shared" si="22"/>
        <v>9356.8799999999992</v>
      </c>
      <c r="F285" s="77"/>
      <c r="G285" s="75">
        <f t="shared" si="23"/>
        <v>20</v>
      </c>
      <c r="H285" s="14" t="s">
        <v>52</v>
      </c>
      <c r="I285" s="15" t="s">
        <v>133</v>
      </c>
      <c r="J285" s="39">
        <v>266.27999999999997</v>
      </c>
      <c r="K285" s="69">
        <f t="shared" si="24"/>
        <v>8937</v>
      </c>
      <c r="L285" s="70">
        <f t="shared" si="25"/>
        <v>-123.7</v>
      </c>
      <c r="M285" s="62"/>
      <c r="N285" s="14" t="s">
        <v>60</v>
      </c>
      <c r="O285" s="15" t="s">
        <v>134</v>
      </c>
      <c r="P285" s="1">
        <v>-192.98</v>
      </c>
    </row>
    <row r="286" spans="1:16" ht="15.75" hidden="1">
      <c r="A286" s="71">
        <f t="shared" si="21"/>
        <v>21</v>
      </c>
      <c r="B286" s="14" t="s">
        <v>53</v>
      </c>
      <c r="C286" s="15" t="s">
        <v>133</v>
      </c>
      <c r="D286" s="72"/>
      <c r="E286" s="73">
        <f t="shared" si="22"/>
        <v>9356.8799999999992</v>
      </c>
      <c r="F286" s="77"/>
      <c r="G286" s="75">
        <f t="shared" si="23"/>
        <v>21</v>
      </c>
      <c r="H286" s="14" t="s">
        <v>53</v>
      </c>
      <c r="I286" s="15" t="s">
        <v>133</v>
      </c>
      <c r="J286" s="72"/>
      <c r="K286" s="69">
        <f t="shared" si="24"/>
        <v>8937</v>
      </c>
      <c r="L286" s="70"/>
      <c r="M286" s="62"/>
      <c r="N286" s="14" t="s">
        <v>61</v>
      </c>
      <c r="O286" s="15" t="s">
        <v>134</v>
      </c>
      <c r="P286" s="1">
        <v>-92.09</v>
      </c>
    </row>
    <row r="287" spans="1:16" ht="15.75" hidden="1">
      <c r="A287" s="71">
        <f t="shared" si="21"/>
        <v>22</v>
      </c>
      <c r="B287" s="14" t="s">
        <v>54</v>
      </c>
      <c r="C287" s="15" t="s">
        <v>133</v>
      </c>
      <c r="D287" s="39">
        <v>3658.5230000000001</v>
      </c>
      <c r="E287" s="73">
        <f t="shared" si="22"/>
        <v>13015.403</v>
      </c>
      <c r="F287" s="77"/>
      <c r="G287" s="75">
        <f t="shared" si="23"/>
        <v>22</v>
      </c>
      <c r="H287" s="14" t="s">
        <v>54</v>
      </c>
      <c r="I287" s="15" t="s">
        <v>133</v>
      </c>
      <c r="J287" s="39">
        <v>3387.7570000000001</v>
      </c>
      <c r="K287" s="69">
        <f t="shared" si="24"/>
        <v>12324.757</v>
      </c>
      <c r="L287" s="70">
        <f t="shared" si="25"/>
        <v>-270.76600000000002</v>
      </c>
      <c r="M287" s="62"/>
      <c r="N287" s="14" t="s">
        <v>62</v>
      </c>
      <c r="O287" s="15" t="s">
        <v>134</v>
      </c>
      <c r="P287" s="1">
        <v>411.35</v>
      </c>
    </row>
    <row r="288" spans="1:16" ht="15.75" hidden="1">
      <c r="A288" s="71">
        <f t="shared" si="21"/>
        <v>23</v>
      </c>
      <c r="B288" s="14" t="s">
        <v>57</v>
      </c>
      <c r="C288" s="15" t="s">
        <v>133</v>
      </c>
      <c r="D288" s="39">
        <v>140.24</v>
      </c>
      <c r="E288" s="73">
        <f t="shared" si="22"/>
        <v>13155.643</v>
      </c>
      <c r="F288" s="77"/>
      <c r="G288" s="75">
        <f t="shared" si="23"/>
        <v>23</v>
      </c>
      <c r="H288" s="14" t="s">
        <v>57</v>
      </c>
      <c r="I288" s="15" t="s">
        <v>133</v>
      </c>
      <c r="J288" s="39">
        <v>126.72</v>
      </c>
      <c r="K288" s="69">
        <f t="shared" si="24"/>
        <v>12451.477000000001</v>
      </c>
      <c r="L288" s="70">
        <f t="shared" si="25"/>
        <v>-13.52</v>
      </c>
      <c r="M288" s="62"/>
      <c r="N288" s="14" t="s">
        <v>63</v>
      </c>
      <c r="O288" s="15" t="s">
        <v>134</v>
      </c>
      <c r="P288" s="1">
        <v>322.39999999999998</v>
      </c>
    </row>
    <row r="289" spans="1:16" ht="15.75" hidden="1">
      <c r="A289" s="71">
        <f t="shared" si="21"/>
        <v>24</v>
      </c>
      <c r="B289" s="25" t="s">
        <v>59</v>
      </c>
      <c r="C289" s="15" t="s">
        <v>134</v>
      </c>
      <c r="D289" s="39">
        <v>424.01</v>
      </c>
      <c r="E289" s="73">
        <f t="shared" si="22"/>
        <v>13579.653</v>
      </c>
      <c r="F289" s="77"/>
      <c r="G289" s="75">
        <f t="shared" si="23"/>
        <v>24</v>
      </c>
      <c r="H289" s="25" t="s">
        <v>59</v>
      </c>
      <c r="I289" s="26" t="s">
        <v>134</v>
      </c>
      <c r="J289" s="39">
        <v>494.51</v>
      </c>
      <c r="K289" s="69">
        <f t="shared" si="24"/>
        <v>12945.986999999999</v>
      </c>
      <c r="L289" s="70">
        <f t="shared" si="25"/>
        <v>70.5</v>
      </c>
      <c r="M289" s="62"/>
      <c r="N289" s="14" t="s">
        <v>64</v>
      </c>
      <c r="O289" s="15" t="s">
        <v>134</v>
      </c>
      <c r="P289" s="1">
        <v>169.55</v>
      </c>
    </row>
    <row r="290" spans="1:16" ht="15.75" hidden="1">
      <c r="A290" s="71">
        <f t="shared" si="21"/>
        <v>25</v>
      </c>
      <c r="B290" s="14" t="s">
        <v>61</v>
      </c>
      <c r="C290" s="15" t="s">
        <v>134</v>
      </c>
      <c r="D290" s="72"/>
      <c r="E290" s="73">
        <f t="shared" si="22"/>
        <v>13579.653</v>
      </c>
      <c r="F290" s="77"/>
      <c r="G290" s="75">
        <f t="shared" si="23"/>
        <v>25</v>
      </c>
      <c r="H290" s="14" t="s">
        <v>60</v>
      </c>
      <c r="I290" s="15" t="s">
        <v>134</v>
      </c>
      <c r="J290" s="72"/>
      <c r="K290" s="69">
        <f t="shared" si="24"/>
        <v>12945.986999999999</v>
      </c>
      <c r="L290" s="70"/>
      <c r="M290" s="62"/>
      <c r="N290" s="14" t="s">
        <v>65</v>
      </c>
      <c r="O290" s="15" t="s">
        <v>134</v>
      </c>
      <c r="P290" s="1">
        <v>476.99</v>
      </c>
    </row>
    <row r="291" spans="1:16" ht="15.75" hidden="1">
      <c r="A291" s="71">
        <f t="shared" si="21"/>
        <v>26</v>
      </c>
      <c r="B291" s="14" t="s">
        <v>62</v>
      </c>
      <c r="C291" s="15" t="s">
        <v>134</v>
      </c>
      <c r="D291" s="39">
        <v>281.20999999999998</v>
      </c>
      <c r="E291" s="73">
        <f t="shared" si="22"/>
        <v>13860.862999999999</v>
      </c>
      <c r="F291" s="77"/>
      <c r="G291" s="75">
        <f t="shared" si="23"/>
        <v>26</v>
      </c>
      <c r="H291" s="14" t="s">
        <v>61</v>
      </c>
      <c r="I291" s="15" t="s">
        <v>134</v>
      </c>
      <c r="J291" s="39"/>
      <c r="K291" s="69">
        <f t="shared" si="24"/>
        <v>12945.986999999999</v>
      </c>
      <c r="L291" s="70">
        <f t="shared" si="25"/>
        <v>-281.20999999999998</v>
      </c>
      <c r="M291" s="62"/>
      <c r="N291" s="43" t="s">
        <v>66</v>
      </c>
      <c r="O291" s="23" t="s">
        <v>134</v>
      </c>
      <c r="P291" s="1">
        <v>1584.79</v>
      </c>
    </row>
    <row r="292" spans="1:16" ht="15.75" hidden="1">
      <c r="A292" s="71">
        <f t="shared" si="21"/>
        <v>27</v>
      </c>
      <c r="B292" s="14" t="s">
        <v>63</v>
      </c>
      <c r="C292" s="15" t="s">
        <v>134</v>
      </c>
      <c r="D292" s="39">
        <v>410.85</v>
      </c>
      <c r="E292" s="73">
        <f t="shared" si="22"/>
        <v>14271.713</v>
      </c>
      <c r="F292" s="77"/>
      <c r="G292" s="75">
        <f t="shared" si="23"/>
        <v>27</v>
      </c>
      <c r="H292" s="14" t="s">
        <v>62</v>
      </c>
      <c r="I292" s="15" t="s">
        <v>134</v>
      </c>
      <c r="J292" s="39">
        <v>411.35</v>
      </c>
      <c r="K292" s="69">
        <f t="shared" si="24"/>
        <v>13357.337</v>
      </c>
      <c r="L292" s="70">
        <f t="shared" si="25"/>
        <v>0.5</v>
      </c>
      <c r="M292" s="62"/>
      <c r="N292" s="25" t="s">
        <v>67</v>
      </c>
      <c r="O292" s="26" t="s">
        <v>135</v>
      </c>
      <c r="P292" s="1">
        <v>-1407.71</v>
      </c>
    </row>
    <row r="293" spans="1:16" ht="15.75" hidden="1">
      <c r="A293" s="71">
        <f t="shared" si="21"/>
        <v>28</v>
      </c>
      <c r="B293" s="14" t="s">
        <v>63</v>
      </c>
      <c r="C293" s="15" t="s">
        <v>134</v>
      </c>
      <c r="D293" s="39">
        <v>431</v>
      </c>
      <c r="E293" s="73">
        <f t="shared" si="22"/>
        <v>14702.713</v>
      </c>
      <c r="F293" s="77"/>
      <c r="G293" s="75">
        <f t="shared" si="23"/>
        <v>28</v>
      </c>
      <c r="H293" s="14" t="s">
        <v>63</v>
      </c>
      <c r="I293" s="15" t="s">
        <v>134</v>
      </c>
      <c r="J293" s="39">
        <v>322.39999999999998</v>
      </c>
      <c r="K293" s="69">
        <f t="shared" si="24"/>
        <v>13679.736999999999</v>
      </c>
      <c r="L293" s="70">
        <f t="shared" si="25"/>
        <v>-108.6</v>
      </c>
      <c r="M293" s="62"/>
      <c r="N293" s="14" t="s">
        <v>68</v>
      </c>
      <c r="O293" s="15" t="s">
        <v>135</v>
      </c>
      <c r="P293" s="1">
        <v>-3046.96</v>
      </c>
    </row>
    <row r="294" spans="1:16" ht="15.75" hidden="1">
      <c r="A294" s="71">
        <f t="shared" si="21"/>
        <v>29</v>
      </c>
      <c r="B294" s="14" t="s">
        <v>64</v>
      </c>
      <c r="C294" s="15" t="s">
        <v>134</v>
      </c>
      <c r="D294" s="37"/>
      <c r="E294" s="73">
        <f t="shared" si="22"/>
        <v>14702.713</v>
      </c>
      <c r="F294" s="77"/>
      <c r="G294" s="75">
        <f t="shared" si="23"/>
        <v>29</v>
      </c>
      <c r="H294" s="14" t="s">
        <v>64</v>
      </c>
      <c r="I294" s="15" t="s">
        <v>134</v>
      </c>
      <c r="J294" s="39">
        <v>169.55</v>
      </c>
      <c r="K294" s="69">
        <f t="shared" si="24"/>
        <v>13849.287</v>
      </c>
      <c r="L294" s="70">
        <f t="shared" si="25"/>
        <v>169.55</v>
      </c>
      <c r="M294" s="62"/>
      <c r="N294" s="43" t="s">
        <v>69</v>
      </c>
      <c r="O294" s="23" t="s">
        <v>135</v>
      </c>
      <c r="P294" s="1">
        <v>-3458.66</v>
      </c>
    </row>
    <row r="295" spans="1:16" ht="15.75" hidden="1">
      <c r="A295" s="71">
        <f t="shared" si="21"/>
        <v>30</v>
      </c>
      <c r="B295" s="14" t="s">
        <v>65</v>
      </c>
      <c r="C295" s="15" t="s">
        <v>134</v>
      </c>
      <c r="D295" s="39">
        <v>421.49</v>
      </c>
      <c r="E295" s="73">
        <f t="shared" si="22"/>
        <v>15124.203</v>
      </c>
      <c r="F295" s="77"/>
      <c r="G295" s="75">
        <f t="shared" si="23"/>
        <v>30</v>
      </c>
      <c r="H295" s="14" t="s">
        <v>65</v>
      </c>
      <c r="I295" s="15" t="s">
        <v>134</v>
      </c>
      <c r="J295" s="39">
        <v>476.99</v>
      </c>
      <c r="K295" s="69">
        <f t="shared" si="24"/>
        <v>14326.277</v>
      </c>
      <c r="L295" s="70">
        <f t="shared" si="25"/>
        <v>55.5</v>
      </c>
      <c r="M295" s="62"/>
      <c r="N295" s="25" t="s">
        <v>136</v>
      </c>
      <c r="O295" s="26" t="s">
        <v>137</v>
      </c>
      <c r="P295" s="1">
        <v>-3049.18</v>
      </c>
    </row>
    <row r="296" spans="1:16" ht="15.75" hidden="1">
      <c r="A296" s="71">
        <f t="shared" si="21"/>
        <v>31</v>
      </c>
      <c r="B296" s="43" t="s">
        <v>66</v>
      </c>
      <c r="C296" s="23" t="s">
        <v>134</v>
      </c>
      <c r="D296" s="39">
        <v>1262.19</v>
      </c>
      <c r="E296" s="73">
        <f t="shared" si="22"/>
        <v>16386.393</v>
      </c>
      <c r="F296" s="77"/>
      <c r="G296" s="75">
        <f t="shared" si="23"/>
        <v>31</v>
      </c>
      <c r="H296" s="43" t="s">
        <v>66</v>
      </c>
      <c r="I296" s="23" t="s">
        <v>135</v>
      </c>
      <c r="J296" s="39">
        <v>1584.79</v>
      </c>
      <c r="K296" s="69">
        <f t="shared" si="24"/>
        <v>15911.066999999999</v>
      </c>
      <c r="L296" s="70">
        <f t="shared" si="25"/>
        <v>322.60000000000002</v>
      </c>
      <c r="M296" s="62"/>
      <c r="N296" s="14" t="s">
        <v>71</v>
      </c>
      <c r="O296" s="15" t="s">
        <v>137</v>
      </c>
      <c r="P296" s="1">
        <v>747.55</v>
      </c>
    </row>
    <row r="297" spans="1:16" ht="15.75" hidden="1">
      <c r="A297" s="71">
        <f t="shared" si="21"/>
        <v>32</v>
      </c>
      <c r="B297" s="14" t="s">
        <v>71</v>
      </c>
      <c r="C297" s="26" t="s">
        <v>137</v>
      </c>
      <c r="D297" s="39">
        <v>760.79</v>
      </c>
      <c r="E297" s="73">
        <f t="shared" si="22"/>
        <v>17147.183000000001</v>
      </c>
      <c r="F297" s="77"/>
      <c r="G297" s="75">
        <f t="shared" si="23"/>
        <v>32</v>
      </c>
      <c r="H297" s="14" t="s">
        <v>71</v>
      </c>
      <c r="I297" s="26" t="s">
        <v>137</v>
      </c>
      <c r="J297" s="39">
        <v>747.55</v>
      </c>
      <c r="K297" s="69">
        <f t="shared" si="24"/>
        <v>16658.616999999998</v>
      </c>
      <c r="L297" s="70">
        <f t="shared" si="25"/>
        <v>-13.24</v>
      </c>
      <c r="M297" s="62"/>
      <c r="N297" s="14" t="s">
        <v>72</v>
      </c>
      <c r="O297" s="15" t="s">
        <v>137</v>
      </c>
      <c r="P297" s="1">
        <v>2232</v>
      </c>
    </row>
    <row r="298" spans="1:16" ht="15.75" hidden="1">
      <c r="A298" s="71">
        <f t="shared" si="21"/>
        <v>33</v>
      </c>
      <c r="B298" s="14" t="s">
        <v>72</v>
      </c>
      <c r="C298" s="82" t="s">
        <v>137</v>
      </c>
      <c r="D298" s="39">
        <v>1452</v>
      </c>
      <c r="E298" s="73">
        <f t="shared" si="22"/>
        <v>18599.183000000001</v>
      </c>
      <c r="F298" s="77"/>
      <c r="G298" s="75">
        <f t="shared" si="23"/>
        <v>33</v>
      </c>
      <c r="H298" s="14" t="s">
        <v>72</v>
      </c>
      <c r="I298" s="82" t="s">
        <v>137</v>
      </c>
      <c r="J298" s="39">
        <v>2232</v>
      </c>
      <c r="K298" s="69">
        <f t="shared" si="24"/>
        <v>18890.616999999998</v>
      </c>
      <c r="L298" s="70">
        <f t="shared" si="25"/>
        <v>780</v>
      </c>
      <c r="M298" s="62"/>
      <c r="N298" s="14" t="s">
        <v>138</v>
      </c>
      <c r="O298" s="15" t="s">
        <v>137</v>
      </c>
      <c r="P298" s="1"/>
    </row>
    <row r="299" spans="1:16" ht="15.75" hidden="1">
      <c r="A299" s="71">
        <f t="shared" si="21"/>
        <v>34</v>
      </c>
      <c r="B299" s="25" t="s">
        <v>77</v>
      </c>
      <c r="C299" s="26" t="s">
        <v>139</v>
      </c>
      <c r="D299" s="39">
        <v>1429.07</v>
      </c>
      <c r="E299" s="73">
        <f t="shared" si="22"/>
        <v>20028.253000000001</v>
      </c>
      <c r="F299" s="77"/>
      <c r="G299" s="75">
        <f t="shared" si="23"/>
        <v>34</v>
      </c>
      <c r="H299" s="25" t="s">
        <v>77</v>
      </c>
      <c r="I299" s="26" t="s">
        <v>139</v>
      </c>
      <c r="J299" s="39">
        <v>1776.67</v>
      </c>
      <c r="K299" s="69">
        <f t="shared" si="24"/>
        <v>20667.287</v>
      </c>
      <c r="L299" s="70">
        <f t="shared" si="25"/>
        <v>347.6</v>
      </c>
      <c r="M299" s="62"/>
      <c r="N299" s="14" t="s">
        <v>74</v>
      </c>
      <c r="O299" s="15" t="s">
        <v>137</v>
      </c>
      <c r="P299" s="1">
        <v>-5448.8</v>
      </c>
    </row>
    <row r="300" spans="1:16" ht="15.75" hidden="1">
      <c r="A300" s="71">
        <f t="shared" si="21"/>
        <v>35</v>
      </c>
      <c r="B300" s="14" t="s">
        <v>78</v>
      </c>
      <c r="C300" s="15" t="s">
        <v>139</v>
      </c>
      <c r="D300" s="39">
        <v>492.6</v>
      </c>
      <c r="E300" s="73">
        <f t="shared" si="22"/>
        <v>20520.852999999999</v>
      </c>
      <c r="F300" s="77"/>
      <c r="G300" s="75">
        <f t="shared" si="23"/>
        <v>35</v>
      </c>
      <c r="H300" s="14" t="s">
        <v>78</v>
      </c>
      <c r="I300" s="15" t="s">
        <v>139</v>
      </c>
      <c r="J300" s="39">
        <v>640</v>
      </c>
      <c r="K300" s="69">
        <f t="shared" si="24"/>
        <v>21307.287</v>
      </c>
      <c r="L300" s="70">
        <f t="shared" si="25"/>
        <v>147.4</v>
      </c>
      <c r="M300" s="62"/>
      <c r="N300" s="14" t="s">
        <v>75</v>
      </c>
      <c r="O300" s="15" t="s">
        <v>137</v>
      </c>
      <c r="P300" s="1">
        <v>-18206.29</v>
      </c>
    </row>
    <row r="301" spans="1:16" ht="15.75" hidden="1">
      <c r="A301" s="71">
        <f t="shared" si="21"/>
        <v>36</v>
      </c>
      <c r="B301" s="14" t="s">
        <v>79</v>
      </c>
      <c r="C301" s="15" t="s">
        <v>139</v>
      </c>
      <c r="D301" s="76"/>
      <c r="E301" s="73">
        <f t="shared" si="22"/>
        <v>20520.852999999999</v>
      </c>
      <c r="F301" s="77"/>
      <c r="G301" s="75">
        <f t="shared" si="23"/>
        <v>36</v>
      </c>
      <c r="H301" s="14" t="s">
        <v>79</v>
      </c>
      <c r="I301" s="15" t="s">
        <v>139</v>
      </c>
      <c r="J301" s="76"/>
      <c r="K301" s="69">
        <f t="shared" si="24"/>
        <v>21307.287</v>
      </c>
      <c r="L301" s="70"/>
      <c r="M301" s="62"/>
      <c r="N301" s="43" t="s">
        <v>76</v>
      </c>
      <c r="O301" s="23" t="s">
        <v>137</v>
      </c>
      <c r="P301" s="1">
        <v>-49067.54</v>
      </c>
    </row>
    <row r="302" spans="1:16" ht="15.75" hidden="1">
      <c r="A302" s="71">
        <f t="shared" si="21"/>
        <v>37</v>
      </c>
      <c r="B302" s="25" t="s">
        <v>80</v>
      </c>
      <c r="C302" s="15" t="s">
        <v>139</v>
      </c>
      <c r="D302" s="39">
        <v>98.21</v>
      </c>
      <c r="E302" s="73">
        <f t="shared" si="22"/>
        <v>20619.062999999998</v>
      </c>
      <c r="F302" s="77"/>
      <c r="G302" s="75">
        <f t="shared" si="23"/>
        <v>37</v>
      </c>
      <c r="H302" s="14" t="s">
        <v>80</v>
      </c>
      <c r="I302" s="15" t="s">
        <v>139</v>
      </c>
      <c r="J302" s="39">
        <v>164.81</v>
      </c>
      <c r="K302" s="69">
        <f t="shared" si="24"/>
        <v>21472.097000000002</v>
      </c>
      <c r="L302" s="70">
        <f t="shared" si="25"/>
        <v>66.599999999999994</v>
      </c>
      <c r="M302" s="62"/>
      <c r="N302" s="25" t="s">
        <v>77</v>
      </c>
      <c r="O302" s="26" t="s">
        <v>139</v>
      </c>
      <c r="P302" s="1">
        <v>1776.67</v>
      </c>
    </row>
    <row r="303" spans="1:16" ht="15.75" hidden="1">
      <c r="A303" s="71">
        <f t="shared" si="21"/>
        <v>38</v>
      </c>
      <c r="B303" s="14" t="s">
        <v>81</v>
      </c>
      <c r="C303" s="15" t="s">
        <v>139</v>
      </c>
      <c r="D303" s="76"/>
      <c r="E303" s="73">
        <f t="shared" si="22"/>
        <v>20619.062999999998</v>
      </c>
      <c r="F303" s="77"/>
      <c r="G303" s="75">
        <f t="shared" si="23"/>
        <v>38</v>
      </c>
      <c r="H303" s="14" t="s">
        <v>81</v>
      </c>
      <c r="I303" s="15" t="s">
        <v>139</v>
      </c>
      <c r="J303" s="76"/>
      <c r="K303" s="69">
        <f t="shared" si="24"/>
        <v>21472.097000000002</v>
      </c>
      <c r="L303" s="70"/>
      <c r="M303" s="62"/>
      <c r="N303" s="14" t="s">
        <v>78</v>
      </c>
      <c r="O303" s="15" t="s">
        <v>139</v>
      </c>
      <c r="P303" s="1">
        <v>640</v>
      </c>
    </row>
    <row r="304" spans="1:16" ht="15.75" hidden="1">
      <c r="A304" s="71">
        <f t="shared" si="21"/>
        <v>39</v>
      </c>
      <c r="B304" s="14" t="s">
        <v>82</v>
      </c>
      <c r="C304" s="15" t="s">
        <v>139</v>
      </c>
      <c r="D304" s="37"/>
      <c r="E304" s="73">
        <f t="shared" si="22"/>
        <v>20619.062999999998</v>
      </c>
      <c r="F304" s="77"/>
      <c r="G304" s="75">
        <f t="shared" si="23"/>
        <v>39</v>
      </c>
      <c r="H304" s="14" t="s">
        <v>82</v>
      </c>
      <c r="I304" s="15" t="s">
        <v>139</v>
      </c>
      <c r="J304" s="37"/>
      <c r="K304" s="69">
        <f t="shared" si="24"/>
        <v>21472.097000000002</v>
      </c>
      <c r="L304" s="70"/>
      <c r="M304" s="62"/>
      <c r="N304" s="14" t="s">
        <v>79</v>
      </c>
      <c r="O304" s="15" t="s">
        <v>139</v>
      </c>
      <c r="P304" s="1">
        <v>-1620.91</v>
      </c>
    </row>
    <row r="305" spans="1:16" ht="15.75" hidden="1">
      <c r="A305" s="71">
        <f t="shared" si="21"/>
        <v>40</v>
      </c>
      <c r="B305" s="14" t="s">
        <v>83</v>
      </c>
      <c r="C305" s="15" t="s">
        <v>139</v>
      </c>
      <c r="D305" s="76"/>
      <c r="E305" s="73">
        <f t="shared" si="22"/>
        <v>20619.062999999998</v>
      </c>
      <c r="F305" s="77"/>
      <c r="G305" s="75">
        <f t="shared" si="23"/>
        <v>40</v>
      </c>
      <c r="H305" s="14" t="s">
        <v>83</v>
      </c>
      <c r="I305" s="15" t="s">
        <v>139</v>
      </c>
      <c r="J305" s="76"/>
      <c r="K305" s="69">
        <f t="shared" si="24"/>
        <v>21472.097000000002</v>
      </c>
      <c r="L305" s="70"/>
      <c r="M305" s="62"/>
      <c r="N305" s="14" t="s">
        <v>80</v>
      </c>
      <c r="O305" s="15" t="s">
        <v>139</v>
      </c>
      <c r="P305" s="1">
        <v>164.81</v>
      </c>
    </row>
    <row r="306" spans="1:16" ht="15.75" hidden="1">
      <c r="A306" s="71">
        <f t="shared" si="21"/>
        <v>41</v>
      </c>
      <c r="B306" s="14" t="s">
        <v>84</v>
      </c>
      <c r="C306" s="15" t="s">
        <v>139</v>
      </c>
      <c r="D306" s="39">
        <v>899.3</v>
      </c>
      <c r="E306" s="73">
        <f t="shared" si="22"/>
        <v>21518.363000000001</v>
      </c>
      <c r="F306" s="77"/>
      <c r="G306" s="75">
        <f t="shared" si="23"/>
        <v>41</v>
      </c>
      <c r="H306" s="14" t="s">
        <v>84</v>
      </c>
      <c r="I306" s="15" t="s">
        <v>139</v>
      </c>
      <c r="J306" s="39">
        <v>936.7</v>
      </c>
      <c r="K306" s="69">
        <f t="shared" si="24"/>
        <v>22408.796999999999</v>
      </c>
      <c r="L306" s="70">
        <f t="shared" si="25"/>
        <v>37.400000000000098</v>
      </c>
      <c r="M306" s="62"/>
      <c r="N306" s="14" t="s">
        <v>81</v>
      </c>
      <c r="O306" s="15" t="s">
        <v>139</v>
      </c>
      <c r="P306" s="1">
        <v>-782</v>
      </c>
    </row>
    <row r="307" spans="1:16" ht="15.75" hidden="1">
      <c r="A307" s="71">
        <f t="shared" si="21"/>
        <v>42</v>
      </c>
      <c r="B307" s="14" t="s">
        <v>86</v>
      </c>
      <c r="C307" s="15" t="s">
        <v>139</v>
      </c>
      <c r="D307" s="39">
        <v>208</v>
      </c>
      <c r="E307" s="73">
        <f t="shared" si="22"/>
        <v>21726.363000000001</v>
      </c>
      <c r="F307" s="77"/>
      <c r="G307" s="75">
        <f t="shared" si="23"/>
        <v>42</v>
      </c>
      <c r="H307" s="14" t="s">
        <v>86</v>
      </c>
      <c r="I307" s="23" t="s">
        <v>139</v>
      </c>
      <c r="J307" s="39">
        <v>163.69999999999999</v>
      </c>
      <c r="K307" s="69">
        <f t="shared" si="24"/>
        <v>22572.496999999999</v>
      </c>
      <c r="L307" s="70">
        <f t="shared" si="25"/>
        <v>-44.3</v>
      </c>
      <c r="M307" s="62"/>
      <c r="N307" s="14" t="s">
        <v>82</v>
      </c>
      <c r="O307" s="15" t="s">
        <v>139</v>
      </c>
      <c r="P307" s="1">
        <v>78.099999999999994</v>
      </c>
    </row>
    <row r="308" spans="1:16" ht="15.75" hidden="1">
      <c r="A308" s="71">
        <f t="shared" si="21"/>
        <v>43</v>
      </c>
      <c r="B308" s="43" t="s">
        <v>87</v>
      </c>
      <c r="C308" s="23" t="s">
        <v>139</v>
      </c>
      <c r="D308" s="76"/>
      <c r="E308" s="73">
        <f t="shared" si="22"/>
        <v>21726.363000000001</v>
      </c>
      <c r="F308" s="77"/>
      <c r="G308" s="75">
        <f t="shared" si="23"/>
        <v>43</v>
      </c>
      <c r="H308" s="43" t="s">
        <v>87</v>
      </c>
      <c r="I308" s="23" t="s">
        <v>139</v>
      </c>
      <c r="J308" s="76"/>
      <c r="K308" s="69">
        <f t="shared" si="24"/>
        <v>22572.496999999999</v>
      </c>
      <c r="L308" s="70"/>
      <c r="M308" s="62"/>
      <c r="N308" s="14" t="s">
        <v>83</v>
      </c>
      <c r="O308" s="15" t="s">
        <v>139</v>
      </c>
      <c r="P308" s="1">
        <v>-2161.63</v>
      </c>
    </row>
    <row r="309" spans="1:16" ht="15.75" hidden="1">
      <c r="A309" s="71">
        <f t="shared" si="21"/>
        <v>44</v>
      </c>
      <c r="B309" s="14" t="s">
        <v>89</v>
      </c>
      <c r="C309" s="15" t="s">
        <v>141</v>
      </c>
      <c r="D309" s="39">
        <v>551.20000000000005</v>
      </c>
      <c r="E309" s="73">
        <f t="shared" si="22"/>
        <v>22277.562999999998</v>
      </c>
      <c r="F309" s="77"/>
      <c r="G309" s="75">
        <f t="shared" si="23"/>
        <v>44</v>
      </c>
      <c r="H309" s="14" t="s">
        <v>89</v>
      </c>
      <c r="I309" s="15" t="s">
        <v>141</v>
      </c>
      <c r="J309" s="39">
        <v>53</v>
      </c>
      <c r="K309" s="69">
        <f t="shared" si="24"/>
        <v>22625.496999999999</v>
      </c>
      <c r="L309" s="70">
        <f t="shared" si="25"/>
        <v>-498.2</v>
      </c>
      <c r="M309" s="62"/>
      <c r="N309" s="14" t="s">
        <v>84</v>
      </c>
      <c r="O309" s="15" t="s">
        <v>139</v>
      </c>
      <c r="P309" s="1">
        <v>936.7</v>
      </c>
    </row>
    <row r="310" spans="1:16" ht="15.75" hidden="1">
      <c r="A310" s="71">
        <f t="shared" si="21"/>
        <v>45</v>
      </c>
      <c r="B310" s="14" t="s">
        <v>90</v>
      </c>
      <c r="C310" s="15" t="s">
        <v>141</v>
      </c>
      <c r="D310" s="39">
        <v>498.9</v>
      </c>
      <c r="E310" s="73">
        <f t="shared" si="22"/>
        <v>22776.463</v>
      </c>
      <c r="F310" s="77"/>
      <c r="G310" s="75">
        <f t="shared" si="23"/>
        <v>45</v>
      </c>
      <c r="H310" s="14" t="s">
        <v>90</v>
      </c>
      <c r="I310" s="15" t="s">
        <v>141</v>
      </c>
      <c r="J310" s="39">
        <v>775</v>
      </c>
      <c r="K310" s="69">
        <f t="shared" si="24"/>
        <v>23400.496999999999</v>
      </c>
      <c r="L310" s="70">
        <f t="shared" si="25"/>
        <v>276.10000000000002</v>
      </c>
      <c r="M310" s="62"/>
      <c r="N310" s="14" t="s">
        <v>85</v>
      </c>
      <c r="O310" s="15" t="s">
        <v>139</v>
      </c>
      <c r="P310" s="1">
        <v>-3156.5</v>
      </c>
    </row>
    <row r="311" spans="1:16" ht="15.75" hidden="1">
      <c r="A311" s="71">
        <f t="shared" si="21"/>
        <v>46</v>
      </c>
      <c r="B311" s="14" t="s">
        <v>91</v>
      </c>
      <c r="C311" s="15" t="s">
        <v>141</v>
      </c>
      <c r="D311" s="39">
        <v>16208.95</v>
      </c>
      <c r="E311" s="73">
        <f t="shared" si="22"/>
        <v>38985.413</v>
      </c>
      <c r="F311" s="77"/>
      <c r="G311" s="75">
        <f t="shared" si="23"/>
        <v>46</v>
      </c>
      <c r="H311" s="14" t="s">
        <v>91</v>
      </c>
      <c r="I311" s="15" t="s">
        <v>141</v>
      </c>
      <c r="J311" s="39">
        <v>20194.650000000001</v>
      </c>
      <c r="K311" s="69">
        <f t="shared" si="24"/>
        <v>43595.146999999997</v>
      </c>
      <c r="L311" s="70">
        <f t="shared" si="25"/>
        <v>3985.7</v>
      </c>
      <c r="M311" s="62"/>
      <c r="N311" s="14" t="s">
        <v>86</v>
      </c>
      <c r="O311" s="15" t="s">
        <v>139</v>
      </c>
      <c r="P311" s="1">
        <v>163.69999999999999</v>
      </c>
    </row>
    <row r="312" spans="1:16" ht="15.75" hidden="1">
      <c r="A312" s="71">
        <f t="shared" si="21"/>
        <v>47</v>
      </c>
      <c r="B312" s="14" t="s">
        <v>92</v>
      </c>
      <c r="C312" s="15" t="s">
        <v>141</v>
      </c>
      <c r="D312" s="76"/>
      <c r="E312" s="73">
        <f t="shared" si="22"/>
        <v>38985.413</v>
      </c>
      <c r="F312" s="77"/>
      <c r="G312" s="75">
        <f t="shared" si="23"/>
        <v>47</v>
      </c>
      <c r="H312" s="14" t="s">
        <v>92</v>
      </c>
      <c r="I312" s="15" t="s">
        <v>141</v>
      </c>
      <c r="J312" s="76"/>
      <c r="K312" s="69">
        <f t="shared" si="24"/>
        <v>43595.146999999997</v>
      </c>
      <c r="L312" s="70"/>
      <c r="M312" s="62"/>
      <c r="N312" s="43" t="s">
        <v>87</v>
      </c>
      <c r="O312" s="23" t="s">
        <v>139</v>
      </c>
      <c r="P312" s="1">
        <v>-2281.84</v>
      </c>
    </row>
    <row r="313" spans="1:16" ht="15.75" hidden="1">
      <c r="A313" s="71">
        <f t="shared" si="21"/>
        <v>48</v>
      </c>
      <c r="B313" s="51" t="s">
        <v>94</v>
      </c>
      <c r="C313" s="52" t="s">
        <v>141</v>
      </c>
      <c r="D313" s="76"/>
      <c r="E313" s="73">
        <f t="shared" si="22"/>
        <v>38985.413</v>
      </c>
      <c r="F313" s="77"/>
      <c r="G313" s="75">
        <f t="shared" si="23"/>
        <v>48</v>
      </c>
      <c r="H313" s="51" t="s">
        <v>94</v>
      </c>
      <c r="I313" s="52" t="s">
        <v>141</v>
      </c>
      <c r="J313" s="76"/>
      <c r="K313" s="69">
        <f t="shared" si="24"/>
        <v>43595.146999999997</v>
      </c>
      <c r="L313" s="70"/>
      <c r="M313" s="62"/>
      <c r="N313" s="25" t="s">
        <v>88</v>
      </c>
      <c r="O313" s="26" t="s">
        <v>141</v>
      </c>
      <c r="P313" s="1">
        <v>-8570.7000000000007</v>
      </c>
    </row>
    <row r="314" spans="1:16" ht="15.75" hidden="1">
      <c r="A314" s="71">
        <f t="shared" si="21"/>
        <v>49</v>
      </c>
      <c r="B314" s="83" t="s">
        <v>95</v>
      </c>
      <c r="C314" s="49" t="s">
        <v>106</v>
      </c>
      <c r="D314" s="39">
        <v>594.76</v>
      </c>
      <c r="E314" s="73">
        <f t="shared" si="22"/>
        <v>39580.173000000003</v>
      </c>
      <c r="F314" s="77"/>
      <c r="G314" s="75">
        <f t="shared" si="23"/>
        <v>49</v>
      </c>
      <c r="H314" s="50" t="s">
        <v>95</v>
      </c>
      <c r="I314" s="49" t="s">
        <v>106</v>
      </c>
      <c r="J314" s="39">
        <v>683.06</v>
      </c>
      <c r="K314" s="69">
        <f t="shared" si="24"/>
        <v>44278.207000000002</v>
      </c>
      <c r="L314" s="70">
        <f t="shared" si="25"/>
        <v>88.3</v>
      </c>
      <c r="M314" s="62"/>
      <c r="N314" s="14" t="s">
        <v>89</v>
      </c>
      <c r="O314" s="15" t="s">
        <v>141</v>
      </c>
      <c r="P314" s="1">
        <v>53</v>
      </c>
    </row>
    <row r="315" spans="1:16" ht="15.75" hidden="1">
      <c r="A315" s="71">
        <f t="shared" si="21"/>
        <v>50</v>
      </c>
      <c r="B315" s="84" t="s">
        <v>96</v>
      </c>
      <c r="C315" s="15" t="s">
        <v>106</v>
      </c>
      <c r="D315" s="39">
        <v>6292.68</v>
      </c>
      <c r="E315" s="73">
        <f t="shared" si="22"/>
        <v>45872.853000000003</v>
      </c>
      <c r="F315" s="77"/>
      <c r="G315" s="75">
        <f t="shared" si="23"/>
        <v>50</v>
      </c>
      <c r="H315" s="14" t="s">
        <v>96</v>
      </c>
      <c r="I315" s="15" t="s">
        <v>106</v>
      </c>
      <c r="J315" s="39">
        <v>6418.68</v>
      </c>
      <c r="K315" s="69">
        <f t="shared" si="24"/>
        <v>50696.887000000002</v>
      </c>
      <c r="L315" s="70">
        <f t="shared" si="25"/>
        <v>126</v>
      </c>
      <c r="M315" s="62">
        <f>J318-D318</f>
        <v>4956.4339999999902</v>
      </c>
      <c r="N315" s="14" t="s">
        <v>90</v>
      </c>
      <c r="O315" s="15" t="s">
        <v>141</v>
      </c>
      <c r="P315" s="1">
        <v>775</v>
      </c>
    </row>
    <row r="316" spans="1:16" ht="15.75" hidden="1">
      <c r="A316" s="71">
        <f t="shared" si="21"/>
        <v>51</v>
      </c>
      <c r="B316" s="85" t="s">
        <v>116</v>
      </c>
      <c r="C316" s="23" t="s">
        <v>106</v>
      </c>
      <c r="D316" s="39">
        <v>302.89999999999998</v>
      </c>
      <c r="E316" s="73">
        <f t="shared" si="22"/>
        <v>46175.752999999997</v>
      </c>
      <c r="F316" s="77"/>
      <c r="G316" s="75">
        <f t="shared" si="23"/>
        <v>51</v>
      </c>
      <c r="H316" s="22" t="s">
        <v>116</v>
      </c>
      <c r="I316" s="23" t="s">
        <v>106</v>
      </c>
      <c r="J316" s="39">
        <v>435.3</v>
      </c>
      <c r="K316" s="69">
        <f t="shared" si="24"/>
        <v>51132.186999999998</v>
      </c>
      <c r="L316" s="70">
        <f t="shared" si="25"/>
        <v>132.4</v>
      </c>
      <c r="M316" s="86"/>
      <c r="N316" s="14" t="s">
        <v>91</v>
      </c>
      <c r="O316" s="15" t="s">
        <v>141</v>
      </c>
      <c r="P316" s="1">
        <v>20194.650000000001</v>
      </c>
    </row>
    <row r="317" spans="1:16" ht="15.75" hidden="1">
      <c r="A317" s="71">
        <f t="shared" si="21"/>
        <v>52</v>
      </c>
      <c r="B317" s="87" t="s">
        <v>120</v>
      </c>
      <c r="C317" s="23" t="s">
        <v>106</v>
      </c>
      <c r="D317" s="88"/>
      <c r="E317" s="73">
        <f t="shared" si="22"/>
        <v>46175.752999999997</v>
      </c>
      <c r="F317" s="89"/>
      <c r="G317" s="75">
        <f t="shared" si="23"/>
        <v>52</v>
      </c>
      <c r="H317" s="90" t="s">
        <v>120</v>
      </c>
      <c r="I317" s="23" t="s">
        <v>106</v>
      </c>
      <c r="J317" s="88"/>
      <c r="K317" s="69">
        <f t="shared" si="24"/>
        <v>51132.186999999998</v>
      </c>
      <c r="L317" s="70"/>
      <c r="M317" s="86"/>
      <c r="N317" s="14" t="s">
        <v>92</v>
      </c>
      <c r="O317" s="15" t="s">
        <v>141</v>
      </c>
      <c r="P317" s="1">
        <v>-2228.75</v>
      </c>
    </row>
    <row r="318" spans="1:16" ht="15.75" hidden="1">
      <c r="A318" s="8"/>
      <c r="B318" s="91" t="s">
        <v>102</v>
      </c>
      <c r="C318" s="92"/>
      <c r="D318" s="93">
        <f>SUM(D266:D317)</f>
        <v>46175.752999999997</v>
      </c>
      <c r="E318" s="59">
        <f>E317</f>
        <v>46175.752999999997</v>
      </c>
      <c r="F318" s="94"/>
      <c r="G318" s="95"/>
      <c r="H318" s="91" t="s">
        <v>102</v>
      </c>
      <c r="I318" s="60"/>
      <c r="J318" s="93">
        <f>SUM(J266:J317)</f>
        <v>51132.186999999998</v>
      </c>
      <c r="K318" s="59">
        <f>K317</f>
        <v>51132.186999999998</v>
      </c>
      <c r="L318" s="59">
        <f>K318-E318</f>
        <v>4956.4339999999902</v>
      </c>
      <c r="M318" s="62">
        <f>SUM(J266:J317)</f>
        <v>51132.186999999998</v>
      </c>
      <c r="N318" s="14" t="s">
        <v>93</v>
      </c>
      <c r="O318" s="15" t="s">
        <v>141</v>
      </c>
      <c r="P318" s="1">
        <v>-5543.1</v>
      </c>
    </row>
    <row r="319" spans="1:16" ht="15.75" hidden="1">
      <c r="M319" s="62">
        <f>SUM(D266:D317)</f>
        <v>46175.752999999997</v>
      </c>
      <c r="N319" s="51" t="s">
        <v>94</v>
      </c>
      <c r="O319" s="52" t="s">
        <v>141</v>
      </c>
      <c r="P319" s="1" t="s">
        <v>148</v>
      </c>
    </row>
    <row r="320" spans="1:16" ht="15.75" hidden="1">
      <c r="M320" s="62">
        <f>M318-M319</f>
        <v>4956.4339999999902</v>
      </c>
      <c r="N320" s="50" t="s">
        <v>95</v>
      </c>
      <c r="O320" s="49" t="s">
        <v>106</v>
      </c>
      <c r="P320" s="1">
        <v>683.06</v>
      </c>
    </row>
    <row r="321" spans="1:16" ht="15.75" hidden="1">
      <c r="A321" s="127" t="s">
        <v>145</v>
      </c>
      <c r="B321" s="128"/>
      <c r="C321" s="128"/>
      <c r="D321" s="128"/>
      <c r="E321" s="129"/>
      <c r="F321" s="12"/>
      <c r="G321" s="127" t="s">
        <v>149</v>
      </c>
      <c r="H321" s="128"/>
      <c r="I321" s="128"/>
      <c r="J321" s="128"/>
      <c r="K321" s="129"/>
      <c r="L321" s="130" t="s">
        <v>150</v>
      </c>
      <c r="M321" s="8"/>
      <c r="N321" s="14" t="s">
        <v>96</v>
      </c>
      <c r="O321" s="15" t="s">
        <v>106</v>
      </c>
      <c r="P321" s="1">
        <v>6418.68</v>
      </c>
    </row>
    <row r="322" spans="1:16" ht="31.5" hidden="1">
      <c r="A322" s="18" t="s">
        <v>112</v>
      </c>
      <c r="B322" s="19" t="s">
        <v>0</v>
      </c>
      <c r="C322" s="20" t="s">
        <v>113</v>
      </c>
      <c r="D322" s="20" t="s">
        <v>114</v>
      </c>
      <c r="E322" s="20" t="s">
        <v>115</v>
      </c>
      <c r="F322" s="21"/>
      <c r="G322" s="12" t="s">
        <v>112</v>
      </c>
      <c r="H322" s="12" t="s">
        <v>0</v>
      </c>
      <c r="I322" s="12" t="s">
        <v>113</v>
      </c>
      <c r="J322" s="12" t="s">
        <v>114</v>
      </c>
      <c r="K322" s="12" t="s">
        <v>115</v>
      </c>
      <c r="L322" s="131"/>
      <c r="M322" s="8"/>
      <c r="N322" s="22" t="s">
        <v>116</v>
      </c>
      <c r="O322" s="23" t="s">
        <v>106</v>
      </c>
      <c r="P322" s="1">
        <v>435.3</v>
      </c>
    </row>
    <row r="323" spans="1:16" ht="15.75" hidden="1">
      <c r="A323" s="28">
        <v>1</v>
      </c>
      <c r="B323" s="25" t="s">
        <v>1</v>
      </c>
      <c r="C323" s="26" t="s">
        <v>119</v>
      </c>
      <c r="D323" s="32">
        <v>-4409.34</v>
      </c>
      <c r="E323" s="30">
        <f>D323</f>
        <v>-4409.34</v>
      </c>
      <c r="F323" s="8"/>
      <c r="G323" s="31">
        <v>1</v>
      </c>
      <c r="H323" s="25" t="s">
        <v>1</v>
      </c>
      <c r="I323" s="26" t="s">
        <v>119</v>
      </c>
      <c r="J323" s="32">
        <v>-4433.29</v>
      </c>
      <c r="K323" s="30">
        <f>J323</f>
        <v>-4433.29</v>
      </c>
      <c r="L323" s="33">
        <f t="shared" ref="L323:L383" si="26">J323-D323</f>
        <v>-23.9499999999998</v>
      </c>
      <c r="M323" s="8"/>
      <c r="N323" s="8" t="s">
        <v>120</v>
      </c>
      <c r="O323" s="23" t="s">
        <v>106</v>
      </c>
      <c r="P323" s="1">
        <v>-2836.5</v>
      </c>
    </row>
    <row r="324" spans="1:16" ht="15.75" hidden="1">
      <c r="A324" s="28">
        <v>2</v>
      </c>
      <c r="B324" s="14" t="s">
        <v>2</v>
      </c>
      <c r="C324" s="15" t="s">
        <v>119</v>
      </c>
      <c r="D324" s="39">
        <v>-1835.2</v>
      </c>
      <c r="E324" s="33">
        <f>E323+D324</f>
        <v>-6244.54</v>
      </c>
      <c r="F324" s="8"/>
      <c r="G324" s="38">
        <v>2</v>
      </c>
      <c r="H324" s="14" t="s">
        <v>2</v>
      </c>
      <c r="I324" s="15" t="s">
        <v>119</v>
      </c>
      <c r="J324" s="39">
        <v>-1870</v>
      </c>
      <c r="K324" s="33">
        <f>K323+J324</f>
        <v>-6303.29</v>
      </c>
      <c r="L324" s="33">
        <f t="shared" si="26"/>
        <v>-34.799999999999997</v>
      </c>
    </row>
    <row r="325" spans="1:16" ht="15.75" hidden="1">
      <c r="A325" s="28">
        <v>3</v>
      </c>
      <c r="B325" s="14" t="s">
        <v>3</v>
      </c>
      <c r="C325" s="15" t="s">
        <v>119</v>
      </c>
      <c r="D325" s="39">
        <v>-546.96</v>
      </c>
      <c r="E325" s="33">
        <f t="shared" ref="E325:E388" si="27">E324+D325</f>
        <v>-6791.5</v>
      </c>
      <c r="F325" s="8"/>
      <c r="G325" s="38">
        <v>3</v>
      </c>
      <c r="H325" s="14" t="s">
        <v>3</v>
      </c>
      <c r="I325" s="15" t="s">
        <v>119</v>
      </c>
      <c r="J325" s="39">
        <v>-421.15</v>
      </c>
      <c r="K325" s="33">
        <f t="shared" ref="K325:K388" si="28">K324+J325</f>
        <v>-6724.44</v>
      </c>
      <c r="L325" s="33">
        <f t="shared" si="26"/>
        <v>125.81</v>
      </c>
    </row>
    <row r="326" spans="1:16" ht="15.75" hidden="1">
      <c r="A326" s="28">
        <v>4</v>
      </c>
      <c r="B326" s="14" t="s">
        <v>4</v>
      </c>
      <c r="C326" s="15" t="s">
        <v>119</v>
      </c>
      <c r="D326" s="39">
        <v>-11510.96</v>
      </c>
      <c r="E326" s="33">
        <f t="shared" si="27"/>
        <v>-18302.46</v>
      </c>
      <c r="F326" s="8"/>
      <c r="G326" s="38">
        <v>4</v>
      </c>
      <c r="H326" s="14" t="s">
        <v>4</v>
      </c>
      <c r="I326" s="15" t="s">
        <v>119</v>
      </c>
      <c r="J326" s="39">
        <v>-11267.16</v>
      </c>
      <c r="K326" s="33">
        <f t="shared" si="28"/>
        <v>-17991.599999999999</v>
      </c>
      <c r="L326" s="33">
        <f t="shared" si="26"/>
        <v>243.79999999999899</v>
      </c>
    </row>
    <row r="327" spans="1:16" ht="15.75" hidden="1">
      <c r="A327" s="28">
        <v>5</v>
      </c>
      <c r="B327" s="14" t="s">
        <v>5</v>
      </c>
      <c r="C327" s="15" t="s">
        <v>119</v>
      </c>
      <c r="D327" s="39"/>
      <c r="E327" s="33">
        <f t="shared" si="27"/>
        <v>-18302.46</v>
      </c>
      <c r="F327" s="8"/>
      <c r="G327" s="38">
        <v>5</v>
      </c>
      <c r="H327" s="14" t="s">
        <v>5</v>
      </c>
      <c r="I327" s="15" t="s">
        <v>119</v>
      </c>
      <c r="J327" s="39"/>
      <c r="K327" s="33">
        <f t="shared" si="28"/>
        <v>-17991.599999999999</v>
      </c>
      <c r="L327" s="33"/>
    </row>
    <row r="328" spans="1:16" ht="15.75" hidden="1">
      <c r="A328" s="28">
        <v>6</v>
      </c>
      <c r="B328" s="14" t="s">
        <v>6</v>
      </c>
      <c r="C328" s="15" t="s">
        <v>119</v>
      </c>
      <c r="D328" s="39">
        <v>-2553.86</v>
      </c>
      <c r="E328" s="33">
        <f t="shared" si="27"/>
        <v>-20856.32</v>
      </c>
      <c r="F328" s="8"/>
      <c r="G328" s="38">
        <v>6</v>
      </c>
      <c r="H328" s="14" t="s">
        <v>6</v>
      </c>
      <c r="I328" s="15" t="s">
        <v>119</v>
      </c>
      <c r="J328" s="39">
        <v>-3201.9</v>
      </c>
      <c r="K328" s="33">
        <f t="shared" si="28"/>
        <v>-21193.5</v>
      </c>
      <c r="L328" s="33">
        <f t="shared" si="26"/>
        <v>-648.04</v>
      </c>
    </row>
    <row r="329" spans="1:16" ht="15.75" hidden="1">
      <c r="A329" s="28">
        <v>7</v>
      </c>
      <c r="B329" s="14" t="s">
        <v>7</v>
      </c>
      <c r="C329" s="15" t="s">
        <v>119</v>
      </c>
      <c r="D329" s="39">
        <v>-231.3</v>
      </c>
      <c r="E329" s="33">
        <f t="shared" si="27"/>
        <v>-21087.62</v>
      </c>
      <c r="F329" s="8"/>
      <c r="G329" s="38">
        <v>7</v>
      </c>
      <c r="H329" s="14" t="s">
        <v>7</v>
      </c>
      <c r="I329" s="15" t="s">
        <v>119</v>
      </c>
      <c r="J329" s="39">
        <v>-313.3</v>
      </c>
      <c r="K329" s="33">
        <f t="shared" si="28"/>
        <v>-21506.799999999999</v>
      </c>
      <c r="L329" s="33">
        <f t="shared" si="26"/>
        <v>-82</v>
      </c>
    </row>
    <row r="330" spans="1:16" ht="15.75" hidden="1">
      <c r="A330" s="28">
        <v>8</v>
      </c>
      <c r="B330" s="14" t="s">
        <v>8</v>
      </c>
      <c r="C330" s="15" t="s">
        <v>119</v>
      </c>
      <c r="D330" s="39"/>
      <c r="E330" s="33">
        <f t="shared" si="27"/>
        <v>-21087.62</v>
      </c>
      <c r="F330" s="8"/>
      <c r="G330" s="38">
        <v>8</v>
      </c>
      <c r="H330" s="14" t="s">
        <v>8</v>
      </c>
      <c r="I330" s="15" t="s">
        <v>119</v>
      </c>
      <c r="J330" s="39"/>
      <c r="K330" s="33">
        <f t="shared" si="28"/>
        <v>-21506.799999999999</v>
      </c>
      <c r="L330" s="33"/>
    </row>
    <row r="331" spans="1:16" ht="15.75" hidden="1">
      <c r="A331" s="28">
        <v>9</v>
      </c>
      <c r="B331" s="14" t="s">
        <v>9</v>
      </c>
      <c r="C331" s="15" t="s">
        <v>119</v>
      </c>
      <c r="D331" s="39">
        <v>-3182.4</v>
      </c>
      <c r="E331" s="33">
        <f t="shared" si="27"/>
        <v>-24270.02</v>
      </c>
      <c r="F331" s="8"/>
      <c r="G331" s="38">
        <v>9</v>
      </c>
      <c r="H331" s="14" t="s">
        <v>9</v>
      </c>
      <c r="I331" s="15" t="s">
        <v>119</v>
      </c>
      <c r="J331" s="39">
        <v>-3234.3</v>
      </c>
      <c r="K331" s="33">
        <f t="shared" si="28"/>
        <v>-24741.1</v>
      </c>
      <c r="L331" s="33">
        <f t="shared" si="26"/>
        <v>-51.900000000000098</v>
      </c>
    </row>
    <row r="332" spans="1:16" ht="15.75" hidden="1">
      <c r="A332" s="28">
        <v>10</v>
      </c>
      <c r="B332" s="14" t="s">
        <v>10</v>
      </c>
      <c r="C332" s="15" t="s">
        <v>119</v>
      </c>
      <c r="D332" s="39">
        <v>-722.3</v>
      </c>
      <c r="E332" s="33">
        <f t="shared" si="27"/>
        <v>-24992.32</v>
      </c>
      <c r="F332" s="8"/>
      <c r="G332" s="38">
        <v>10</v>
      </c>
      <c r="H332" s="14" t="s">
        <v>10</v>
      </c>
      <c r="I332" s="15" t="s">
        <v>119</v>
      </c>
      <c r="J332" s="39">
        <v>-162.6</v>
      </c>
      <c r="K332" s="33">
        <f t="shared" si="28"/>
        <v>-24903.7</v>
      </c>
      <c r="L332" s="33">
        <f t="shared" si="26"/>
        <v>559.70000000000005</v>
      </c>
    </row>
    <row r="333" spans="1:16" ht="15.75" hidden="1">
      <c r="A333" s="28">
        <v>11</v>
      </c>
      <c r="B333" s="43" t="s">
        <v>11</v>
      </c>
      <c r="C333" s="23" t="s">
        <v>119</v>
      </c>
      <c r="D333" s="39"/>
      <c r="E333" s="44">
        <f t="shared" si="27"/>
        <v>-24992.32</v>
      </c>
      <c r="F333" s="8"/>
      <c r="G333" s="38">
        <v>11</v>
      </c>
      <c r="H333" s="43" t="s">
        <v>11</v>
      </c>
      <c r="I333" s="23" t="s">
        <v>119</v>
      </c>
      <c r="J333" s="39"/>
      <c r="K333" s="33">
        <f t="shared" si="28"/>
        <v>-24903.7</v>
      </c>
      <c r="L333" s="33"/>
    </row>
    <row r="334" spans="1:16" ht="15.75" hidden="1">
      <c r="A334" s="28">
        <v>12</v>
      </c>
      <c r="B334" s="25" t="s">
        <v>12</v>
      </c>
      <c r="C334" s="26" t="s">
        <v>123</v>
      </c>
      <c r="D334" s="39">
        <v>-24412.5</v>
      </c>
      <c r="E334" s="30">
        <f t="shared" si="27"/>
        <v>-49404.82</v>
      </c>
      <c r="F334" s="8"/>
      <c r="G334" s="38">
        <v>12</v>
      </c>
      <c r="H334" s="25" t="s">
        <v>12</v>
      </c>
      <c r="I334" s="26" t="s">
        <v>123</v>
      </c>
      <c r="J334" s="39">
        <v>-25250.6</v>
      </c>
      <c r="K334" s="33">
        <f t="shared" si="28"/>
        <v>-50154.3</v>
      </c>
      <c r="L334" s="33">
        <f t="shared" si="26"/>
        <v>-838.099999999999</v>
      </c>
    </row>
    <row r="335" spans="1:16" ht="15.75" hidden="1">
      <c r="A335" s="28">
        <v>13</v>
      </c>
      <c r="B335" s="14" t="s">
        <v>13</v>
      </c>
      <c r="C335" s="15" t="s">
        <v>123</v>
      </c>
      <c r="D335" s="39">
        <v>-5464.7</v>
      </c>
      <c r="E335" s="33">
        <f t="shared" si="27"/>
        <v>-54869.52</v>
      </c>
      <c r="F335" s="8"/>
      <c r="G335" s="38">
        <v>13</v>
      </c>
      <c r="H335" s="14" t="s">
        <v>13</v>
      </c>
      <c r="I335" s="15" t="s">
        <v>123</v>
      </c>
      <c r="J335" s="39">
        <v>-5408.6</v>
      </c>
      <c r="K335" s="33">
        <f t="shared" si="28"/>
        <v>-55562.9</v>
      </c>
      <c r="L335" s="33">
        <f t="shared" si="26"/>
        <v>56.099999999999497</v>
      </c>
    </row>
    <row r="336" spans="1:16" ht="15.75" hidden="1">
      <c r="A336" s="28">
        <v>14</v>
      </c>
      <c r="B336" s="14" t="s">
        <v>14</v>
      </c>
      <c r="C336" s="15" t="s">
        <v>123</v>
      </c>
      <c r="D336" s="39">
        <v>-2390.6999999999998</v>
      </c>
      <c r="E336" s="33">
        <f t="shared" si="27"/>
        <v>-57260.22</v>
      </c>
      <c r="F336" s="8"/>
      <c r="G336" s="38">
        <v>14</v>
      </c>
      <c r="H336" s="14" t="s">
        <v>14</v>
      </c>
      <c r="I336" s="15" t="s">
        <v>123</v>
      </c>
      <c r="J336" s="39">
        <v>-2144.6</v>
      </c>
      <c r="K336" s="33">
        <f t="shared" si="28"/>
        <v>-57707.5</v>
      </c>
      <c r="L336" s="33">
        <f t="shared" si="26"/>
        <v>246.1</v>
      </c>
    </row>
    <row r="337" spans="1:12" ht="15.75" hidden="1">
      <c r="A337" s="28">
        <v>15</v>
      </c>
      <c r="B337" s="14" t="s">
        <v>15</v>
      </c>
      <c r="C337" s="15" t="s">
        <v>123</v>
      </c>
      <c r="D337" s="39">
        <v>-39747.300000000003</v>
      </c>
      <c r="E337" s="33">
        <f t="shared" si="27"/>
        <v>-97007.52</v>
      </c>
      <c r="F337" s="8"/>
      <c r="G337" s="38">
        <v>15</v>
      </c>
      <c r="H337" s="14" t="s">
        <v>15</v>
      </c>
      <c r="I337" s="15" t="s">
        <v>123</v>
      </c>
      <c r="J337" s="39">
        <v>-39093.1</v>
      </c>
      <c r="K337" s="33">
        <f t="shared" si="28"/>
        <v>-96800.6</v>
      </c>
      <c r="L337" s="33">
        <f t="shared" si="26"/>
        <v>654.20000000000402</v>
      </c>
    </row>
    <row r="338" spans="1:12" ht="15.75" hidden="1">
      <c r="A338" s="28">
        <v>16</v>
      </c>
      <c r="B338" s="14" t="s">
        <v>16</v>
      </c>
      <c r="C338" s="15" t="s">
        <v>123</v>
      </c>
      <c r="D338" s="39">
        <v>-5388.91</v>
      </c>
      <c r="E338" s="33">
        <f t="shared" si="27"/>
        <v>-102396.43</v>
      </c>
      <c r="F338" s="8"/>
      <c r="G338" s="38">
        <v>16</v>
      </c>
      <c r="H338" s="14" t="s">
        <v>16</v>
      </c>
      <c r="I338" s="15" t="s">
        <v>123</v>
      </c>
      <c r="J338" s="39">
        <v>-5503.11</v>
      </c>
      <c r="K338" s="33">
        <f t="shared" si="28"/>
        <v>-102303.71</v>
      </c>
      <c r="L338" s="33">
        <f t="shared" si="26"/>
        <v>-114.2</v>
      </c>
    </row>
    <row r="339" spans="1:12" ht="15.75" hidden="1">
      <c r="A339" s="28">
        <v>17</v>
      </c>
      <c r="B339" s="14" t="s">
        <v>17</v>
      </c>
      <c r="C339" s="15" t="s">
        <v>123</v>
      </c>
      <c r="D339" s="39"/>
      <c r="E339" s="33">
        <f t="shared" si="27"/>
        <v>-102396.43</v>
      </c>
      <c r="F339" s="8"/>
      <c r="G339" s="38">
        <v>17</v>
      </c>
      <c r="H339" s="14" t="s">
        <v>17</v>
      </c>
      <c r="I339" s="15" t="s">
        <v>123</v>
      </c>
      <c r="J339" s="39"/>
      <c r="K339" s="33">
        <f t="shared" si="28"/>
        <v>-102303.71</v>
      </c>
      <c r="L339" s="33"/>
    </row>
    <row r="340" spans="1:12" ht="15.75" hidden="1">
      <c r="A340" s="28">
        <v>18</v>
      </c>
      <c r="B340" s="45" t="s">
        <v>125</v>
      </c>
      <c r="C340" s="46" t="s">
        <v>123</v>
      </c>
      <c r="D340" s="39">
        <v>-29777.4</v>
      </c>
      <c r="E340" s="33">
        <f t="shared" si="27"/>
        <v>-132173.82999999999</v>
      </c>
      <c r="F340" s="8"/>
      <c r="G340" s="38">
        <v>18</v>
      </c>
      <c r="H340" s="45" t="s">
        <v>124</v>
      </c>
      <c r="I340" s="46" t="s">
        <v>123</v>
      </c>
      <c r="J340" s="39">
        <v>-30362.3</v>
      </c>
      <c r="K340" s="33">
        <f t="shared" si="28"/>
        <v>-132666.01</v>
      </c>
      <c r="L340" s="33">
        <f t="shared" si="26"/>
        <v>-584.89999999999804</v>
      </c>
    </row>
    <row r="341" spans="1:12" ht="15.75" hidden="1">
      <c r="A341" s="28">
        <v>19</v>
      </c>
      <c r="B341" s="45" t="s">
        <v>19</v>
      </c>
      <c r="C341" s="46" t="s">
        <v>123</v>
      </c>
      <c r="D341" s="39">
        <v>-28162.89</v>
      </c>
      <c r="E341" s="33">
        <f t="shared" si="27"/>
        <v>-160336.72</v>
      </c>
      <c r="F341" s="8"/>
      <c r="G341" s="38">
        <v>19</v>
      </c>
      <c r="H341" s="14" t="s">
        <v>19</v>
      </c>
      <c r="I341" s="15" t="s">
        <v>123</v>
      </c>
      <c r="J341" s="39">
        <v>-28518.19</v>
      </c>
      <c r="K341" s="33">
        <f t="shared" si="28"/>
        <v>-161184.20000000001</v>
      </c>
      <c r="L341" s="33">
        <f t="shared" si="26"/>
        <v>-355.29999999999899</v>
      </c>
    </row>
    <row r="342" spans="1:12" ht="15.75" hidden="1">
      <c r="A342" s="28">
        <v>20</v>
      </c>
      <c r="B342" s="14" t="s">
        <v>20</v>
      </c>
      <c r="C342" s="15" t="s">
        <v>123</v>
      </c>
      <c r="D342" s="39">
        <v>-6778.76</v>
      </c>
      <c r="E342" s="33">
        <f t="shared" si="27"/>
        <v>-167115.48000000001</v>
      </c>
      <c r="F342" s="8"/>
      <c r="G342" s="38">
        <v>20</v>
      </c>
      <c r="H342" s="14" t="s">
        <v>20</v>
      </c>
      <c r="I342" s="15" t="s">
        <v>123</v>
      </c>
      <c r="J342" s="39">
        <v>-6671.96</v>
      </c>
      <c r="K342" s="33">
        <f t="shared" si="28"/>
        <v>-167856.16</v>
      </c>
      <c r="L342" s="33">
        <f t="shared" si="26"/>
        <v>106.8</v>
      </c>
    </row>
    <row r="343" spans="1:12" ht="15.75" hidden="1">
      <c r="A343" s="28">
        <v>21</v>
      </c>
      <c r="B343" s="43" t="s">
        <v>21</v>
      </c>
      <c r="C343" s="23" t="s">
        <v>123</v>
      </c>
      <c r="D343" s="39">
        <v>-8425.7999999999993</v>
      </c>
      <c r="E343" s="44">
        <f t="shared" si="27"/>
        <v>-175541.28</v>
      </c>
      <c r="F343" s="8"/>
      <c r="G343" s="38">
        <v>21</v>
      </c>
      <c r="H343" s="43" t="s">
        <v>21</v>
      </c>
      <c r="I343" s="23" t="s">
        <v>123</v>
      </c>
      <c r="J343" s="39">
        <v>-7909.2</v>
      </c>
      <c r="K343" s="33">
        <f t="shared" si="28"/>
        <v>-175765.36</v>
      </c>
      <c r="L343" s="33">
        <f t="shared" si="26"/>
        <v>516.599999999999</v>
      </c>
    </row>
    <row r="344" spans="1:12" ht="15.75" hidden="1">
      <c r="A344" s="28">
        <v>22</v>
      </c>
      <c r="B344" s="25" t="s">
        <v>22</v>
      </c>
      <c r="C344" s="26" t="s">
        <v>126</v>
      </c>
      <c r="D344" s="39"/>
      <c r="E344" s="30">
        <f t="shared" si="27"/>
        <v>-175541.28</v>
      </c>
      <c r="F344" s="8"/>
      <c r="G344" s="38">
        <v>22</v>
      </c>
      <c r="H344" s="25" t="s">
        <v>22</v>
      </c>
      <c r="I344" s="26" t="s">
        <v>126</v>
      </c>
      <c r="J344" s="39"/>
      <c r="K344" s="33">
        <f t="shared" si="28"/>
        <v>-175765.36</v>
      </c>
      <c r="L344" s="33"/>
    </row>
    <row r="345" spans="1:12" ht="15.75" hidden="1">
      <c r="A345" s="28">
        <v>23</v>
      </c>
      <c r="B345" s="14" t="s">
        <v>23</v>
      </c>
      <c r="C345" s="15" t="s">
        <v>126</v>
      </c>
      <c r="D345" s="39">
        <v>-3820.65</v>
      </c>
      <c r="E345" s="33">
        <f t="shared" si="27"/>
        <v>-179361.93</v>
      </c>
      <c r="F345" s="8"/>
      <c r="G345" s="38">
        <v>23</v>
      </c>
      <c r="H345" s="14" t="s">
        <v>23</v>
      </c>
      <c r="I345" s="15" t="s">
        <v>126</v>
      </c>
      <c r="J345" s="39">
        <v>-4013.15</v>
      </c>
      <c r="K345" s="33">
        <f t="shared" si="28"/>
        <v>-179778.51</v>
      </c>
      <c r="L345" s="33">
        <f t="shared" si="26"/>
        <v>-192.5</v>
      </c>
    </row>
    <row r="346" spans="1:12" ht="15.75" hidden="1">
      <c r="A346" s="28">
        <v>24</v>
      </c>
      <c r="B346" s="14" t="s">
        <v>24</v>
      </c>
      <c r="C346" s="15" t="s">
        <v>126</v>
      </c>
      <c r="D346" s="39">
        <v>-564.25</v>
      </c>
      <c r="E346" s="33">
        <f t="shared" si="27"/>
        <v>-179926.18</v>
      </c>
      <c r="F346" s="8"/>
      <c r="G346" s="38">
        <v>24</v>
      </c>
      <c r="H346" s="14" t="s">
        <v>24</v>
      </c>
      <c r="I346" s="15" t="s">
        <v>126</v>
      </c>
      <c r="J346" s="39">
        <v>-975.33</v>
      </c>
      <c r="K346" s="33">
        <f t="shared" si="28"/>
        <v>-180753.84</v>
      </c>
      <c r="L346" s="33">
        <f t="shared" si="26"/>
        <v>-411.08</v>
      </c>
    </row>
    <row r="347" spans="1:12" ht="15.75" hidden="1">
      <c r="A347" s="28">
        <v>25</v>
      </c>
      <c r="B347" s="14" t="s">
        <v>128</v>
      </c>
      <c r="C347" s="15" t="s">
        <v>126</v>
      </c>
      <c r="D347" s="39"/>
      <c r="E347" s="33">
        <f t="shared" si="27"/>
        <v>-179926.18</v>
      </c>
      <c r="F347" s="8"/>
      <c r="G347" s="38">
        <v>25</v>
      </c>
      <c r="H347" s="14" t="s">
        <v>128</v>
      </c>
      <c r="I347" s="15" t="s">
        <v>126</v>
      </c>
      <c r="J347" s="39"/>
      <c r="K347" s="33">
        <f t="shared" si="28"/>
        <v>-180753.84</v>
      </c>
      <c r="L347" s="33"/>
    </row>
    <row r="348" spans="1:12" ht="15.75" hidden="1">
      <c r="A348" s="28">
        <v>26</v>
      </c>
      <c r="B348" s="47" t="s">
        <v>127</v>
      </c>
      <c r="C348" s="15" t="s">
        <v>126</v>
      </c>
      <c r="D348" s="39"/>
      <c r="E348" s="33">
        <f t="shared" si="27"/>
        <v>-179926.18</v>
      </c>
      <c r="F348" s="8"/>
      <c r="G348" s="38">
        <v>26</v>
      </c>
      <c r="H348" s="47" t="s">
        <v>127</v>
      </c>
      <c r="I348" s="15" t="s">
        <v>126</v>
      </c>
      <c r="J348" s="39"/>
      <c r="K348" s="33">
        <f t="shared" si="28"/>
        <v>-180753.84</v>
      </c>
      <c r="L348" s="33"/>
    </row>
    <row r="349" spans="1:12" ht="15.75" hidden="1">
      <c r="A349" s="28">
        <v>27</v>
      </c>
      <c r="B349" s="14" t="s">
        <v>27</v>
      </c>
      <c r="C349" s="15" t="s">
        <v>126</v>
      </c>
      <c r="D349" s="39">
        <v>-1147.9100000000001</v>
      </c>
      <c r="E349" s="33">
        <f t="shared" si="27"/>
        <v>-181074.09</v>
      </c>
      <c r="F349" s="8"/>
      <c r="G349" s="38">
        <v>27</v>
      </c>
      <c r="H349" s="14" t="s">
        <v>27</v>
      </c>
      <c r="I349" s="15" t="s">
        <v>126</v>
      </c>
      <c r="J349" s="39">
        <v>-1265.3499999999999</v>
      </c>
      <c r="K349" s="33">
        <f t="shared" si="28"/>
        <v>-182019.19</v>
      </c>
      <c r="L349" s="33">
        <f t="shared" si="26"/>
        <v>-117.44</v>
      </c>
    </row>
    <row r="350" spans="1:12" ht="15.75" hidden="1">
      <c r="A350" s="28">
        <v>28</v>
      </c>
      <c r="B350" s="43" t="s">
        <v>28</v>
      </c>
      <c r="C350" s="23" t="s">
        <v>126</v>
      </c>
      <c r="D350" s="39">
        <v>-807.14</v>
      </c>
      <c r="E350" s="33">
        <f t="shared" si="27"/>
        <v>-181881.23</v>
      </c>
      <c r="F350" s="8"/>
      <c r="G350" s="38">
        <v>28</v>
      </c>
      <c r="H350" s="14" t="s">
        <v>28</v>
      </c>
      <c r="I350" s="15" t="s">
        <v>126</v>
      </c>
      <c r="J350" s="39">
        <v>-598.54</v>
      </c>
      <c r="K350" s="33">
        <f t="shared" si="28"/>
        <v>-182617.73</v>
      </c>
      <c r="L350" s="33">
        <f t="shared" si="26"/>
        <v>208.6</v>
      </c>
    </row>
    <row r="351" spans="1:12" ht="15.75" hidden="1">
      <c r="A351" s="28">
        <v>29</v>
      </c>
      <c r="B351" s="25" t="s">
        <v>29</v>
      </c>
      <c r="C351" s="26" t="s">
        <v>129</v>
      </c>
      <c r="D351" s="39"/>
      <c r="E351" s="30">
        <f t="shared" si="27"/>
        <v>-181881.23</v>
      </c>
      <c r="F351" s="8"/>
      <c r="G351" s="38">
        <v>29</v>
      </c>
      <c r="H351" s="25" t="s">
        <v>29</v>
      </c>
      <c r="I351" s="26" t="s">
        <v>129</v>
      </c>
      <c r="J351" s="39"/>
      <c r="K351" s="33">
        <f t="shared" si="28"/>
        <v>-182617.73</v>
      </c>
      <c r="L351" s="33"/>
    </row>
    <row r="352" spans="1:12" ht="15.75" hidden="1">
      <c r="A352" s="28">
        <f t="shared" ref="A352:A415" si="29">A351+1</f>
        <v>30</v>
      </c>
      <c r="B352" s="14" t="s">
        <v>30</v>
      </c>
      <c r="C352" s="15" t="s">
        <v>129</v>
      </c>
      <c r="D352" s="39"/>
      <c r="E352" s="33">
        <f t="shared" si="27"/>
        <v>-181881.23</v>
      </c>
      <c r="F352" s="8"/>
      <c r="G352" s="38">
        <f t="shared" ref="G352:G415" si="30">G351+1</f>
        <v>30</v>
      </c>
      <c r="H352" s="14" t="s">
        <v>30</v>
      </c>
      <c r="I352" s="15" t="s">
        <v>129</v>
      </c>
      <c r="J352" s="39"/>
      <c r="K352" s="33">
        <f t="shared" si="28"/>
        <v>-182617.73</v>
      </c>
      <c r="L352" s="33"/>
    </row>
    <row r="353" spans="1:12" ht="15.75" hidden="1">
      <c r="A353" s="28">
        <f t="shared" si="29"/>
        <v>31</v>
      </c>
      <c r="B353" s="14" t="s">
        <v>31</v>
      </c>
      <c r="C353" s="15" t="s">
        <v>129</v>
      </c>
      <c r="D353" s="39">
        <v>-1594.7</v>
      </c>
      <c r="E353" s="33">
        <f t="shared" si="27"/>
        <v>-183475.93</v>
      </c>
      <c r="F353" s="8"/>
      <c r="G353" s="38">
        <f t="shared" si="30"/>
        <v>31</v>
      </c>
      <c r="H353" s="14" t="s">
        <v>31</v>
      </c>
      <c r="I353" s="15" t="s">
        <v>129</v>
      </c>
      <c r="J353" s="39">
        <v>-1560.2</v>
      </c>
      <c r="K353" s="33">
        <f t="shared" si="28"/>
        <v>-184177.93</v>
      </c>
      <c r="L353" s="33">
        <f t="shared" si="26"/>
        <v>34.5</v>
      </c>
    </row>
    <row r="354" spans="1:12" ht="15.75" hidden="1">
      <c r="A354" s="28">
        <f t="shared" si="29"/>
        <v>32</v>
      </c>
      <c r="B354" s="14" t="s">
        <v>32</v>
      </c>
      <c r="C354" s="15" t="s">
        <v>129</v>
      </c>
      <c r="D354" s="39"/>
      <c r="E354" s="33">
        <f t="shared" si="27"/>
        <v>-183475.93</v>
      </c>
      <c r="F354" s="8"/>
      <c r="G354" s="38">
        <f t="shared" si="30"/>
        <v>32</v>
      </c>
      <c r="H354" s="14" t="s">
        <v>32</v>
      </c>
      <c r="I354" s="15" t="s">
        <v>129</v>
      </c>
      <c r="J354" s="39"/>
      <c r="K354" s="33">
        <f t="shared" si="28"/>
        <v>-184177.93</v>
      </c>
      <c r="L354" s="33"/>
    </row>
    <row r="355" spans="1:12" ht="15.75" hidden="1">
      <c r="A355" s="28">
        <f t="shared" si="29"/>
        <v>33</v>
      </c>
      <c r="B355" s="14" t="s">
        <v>33</v>
      </c>
      <c r="C355" s="15" t="s">
        <v>129</v>
      </c>
      <c r="D355" s="39"/>
      <c r="E355" s="33">
        <f t="shared" si="27"/>
        <v>-183475.93</v>
      </c>
      <c r="F355" s="8"/>
      <c r="G355" s="38">
        <f t="shared" si="30"/>
        <v>33</v>
      </c>
      <c r="H355" s="14" t="s">
        <v>33</v>
      </c>
      <c r="I355" s="15" t="s">
        <v>129</v>
      </c>
      <c r="J355" s="39"/>
      <c r="K355" s="33">
        <f t="shared" si="28"/>
        <v>-184177.93</v>
      </c>
      <c r="L355" s="33"/>
    </row>
    <row r="356" spans="1:12" ht="15.75" hidden="1">
      <c r="A356" s="28">
        <f t="shared" si="29"/>
        <v>34</v>
      </c>
      <c r="B356" s="14" t="s">
        <v>34</v>
      </c>
      <c r="C356" s="15" t="s">
        <v>129</v>
      </c>
      <c r="D356" s="39">
        <v>-9579.1299999999992</v>
      </c>
      <c r="E356" s="33">
        <f t="shared" si="27"/>
        <v>-193055.06</v>
      </c>
      <c r="F356" s="8"/>
      <c r="G356" s="38">
        <f t="shared" si="30"/>
        <v>34</v>
      </c>
      <c r="H356" s="14" t="s">
        <v>34</v>
      </c>
      <c r="I356" s="15" t="s">
        <v>129</v>
      </c>
      <c r="J356" s="39">
        <v>-9146.1299999999992</v>
      </c>
      <c r="K356" s="33">
        <f t="shared" si="28"/>
        <v>-193324.06</v>
      </c>
      <c r="L356" s="33">
        <f t="shared" si="26"/>
        <v>433</v>
      </c>
    </row>
    <row r="357" spans="1:12" ht="15.75" hidden="1">
      <c r="A357" s="28">
        <f t="shared" si="29"/>
        <v>35</v>
      </c>
      <c r="B357" s="14" t="s">
        <v>131</v>
      </c>
      <c r="C357" s="15" t="s">
        <v>129</v>
      </c>
      <c r="D357" s="39"/>
      <c r="E357" s="33">
        <f t="shared" si="27"/>
        <v>-193055.06</v>
      </c>
      <c r="F357" s="8"/>
      <c r="G357" s="38">
        <f t="shared" si="30"/>
        <v>35</v>
      </c>
      <c r="H357" s="14" t="s">
        <v>131</v>
      </c>
      <c r="I357" s="15" t="s">
        <v>129</v>
      </c>
      <c r="J357" s="39"/>
      <c r="K357" s="33">
        <f t="shared" si="28"/>
        <v>-193324.06</v>
      </c>
      <c r="L357" s="33"/>
    </row>
    <row r="358" spans="1:12" ht="15.75" hidden="1">
      <c r="A358" s="28">
        <f t="shared" si="29"/>
        <v>36</v>
      </c>
      <c r="B358" s="14" t="s">
        <v>36</v>
      </c>
      <c r="C358" s="15" t="s">
        <v>129</v>
      </c>
      <c r="D358" s="39">
        <v>-4136.63</v>
      </c>
      <c r="E358" s="33">
        <f t="shared" si="27"/>
        <v>-197191.69</v>
      </c>
      <c r="F358" s="8"/>
      <c r="G358" s="38">
        <f t="shared" si="30"/>
        <v>36</v>
      </c>
      <c r="H358" s="14" t="s">
        <v>36</v>
      </c>
      <c r="I358" s="15" t="s">
        <v>129</v>
      </c>
      <c r="J358" s="39">
        <v>-4208.93</v>
      </c>
      <c r="K358" s="33">
        <f t="shared" si="28"/>
        <v>-197532.99</v>
      </c>
      <c r="L358" s="33">
        <f t="shared" si="26"/>
        <v>-72.300000000000196</v>
      </c>
    </row>
    <row r="359" spans="1:12" ht="15.75" hidden="1">
      <c r="A359" s="28">
        <f t="shared" si="29"/>
        <v>37</v>
      </c>
      <c r="B359" s="14" t="s">
        <v>37</v>
      </c>
      <c r="C359" s="15" t="s">
        <v>129</v>
      </c>
      <c r="D359" s="39">
        <v>-12284.43</v>
      </c>
      <c r="E359" s="33">
        <f t="shared" si="27"/>
        <v>-209476.12</v>
      </c>
      <c r="F359" s="8"/>
      <c r="G359" s="38">
        <f t="shared" si="30"/>
        <v>37</v>
      </c>
      <c r="H359" s="14" t="s">
        <v>37</v>
      </c>
      <c r="I359" s="15" t="s">
        <v>129</v>
      </c>
      <c r="J359" s="39">
        <v>-12893.43</v>
      </c>
      <c r="K359" s="33">
        <f t="shared" si="28"/>
        <v>-210426.42</v>
      </c>
      <c r="L359" s="33">
        <f t="shared" si="26"/>
        <v>-609</v>
      </c>
    </row>
    <row r="360" spans="1:12" ht="15.75" hidden="1">
      <c r="A360" s="28">
        <f t="shared" si="29"/>
        <v>38</v>
      </c>
      <c r="B360" s="43" t="s">
        <v>38</v>
      </c>
      <c r="C360" s="23" t="s">
        <v>130</v>
      </c>
      <c r="D360" s="39">
        <v>-294.2</v>
      </c>
      <c r="E360" s="44">
        <f t="shared" si="27"/>
        <v>-209770.32</v>
      </c>
      <c r="F360" s="8"/>
      <c r="G360" s="38">
        <f t="shared" si="30"/>
        <v>38</v>
      </c>
      <c r="H360" s="43" t="s">
        <v>38</v>
      </c>
      <c r="I360" s="23" t="s">
        <v>130</v>
      </c>
      <c r="J360" s="39">
        <v>-374.9</v>
      </c>
      <c r="K360" s="33">
        <f t="shared" si="28"/>
        <v>-210801.32</v>
      </c>
      <c r="L360" s="33">
        <f t="shared" si="26"/>
        <v>-80.7</v>
      </c>
    </row>
    <row r="361" spans="1:12" ht="15.75" hidden="1">
      <c r="A361" s="28">
        <f t="shared" si="29"/>
        <v>39</v>
      </c>
      <c r="B361" s="25" t="s">
        <v>39</v>
      </c>
      <c r="C361" s="26" t="s">
        <v>132</v>
      </c>
      <c r="D361" s="39"/>
      <c r="E361" s="30">
        <f t="shared" si="27"/>
        <v>-209770.32</v>
      </c>
      <c r="F361" s="8"/>
      <c r="G361" s="38">
        <f t="shared" si="30"/>
        <v>39</v>
      </c>
      <c r="H361" s="25" t="s">
        <v>39</v>
      </c>
      <c r="I361" s="26" t="s">
        <v>132</v>
      </c>
      <c r="J361" s="39"/>
      <c r="K361" s="33">
        <f t="shared" si="28"/>
        <v>-210801.32</v>
      </c>
      <c r="L361" s="33"/>
    </row>
    <row r="362" spans="1:12" ht="15.75" hidden="1">
      <c r="A362" s="28">
        <f t="shared" si="29"/>
        <v>40</v>
      </c>
      <c r="B362" s="14" t="s">
        <v>40</v>
      </c>
      <c r="C362" s="15" t="s">
        <v>132</v>
      </c>
      <c r="D362" s="39"/>
      <c r="E362" s="33">
        <f t="shared" si="27"/>
        <v>-209770.32</v>
      </c>
      <c r="F362" s="8"/>
      <c r="G362" s="38">
        <f t="shared" si="30"/>
        <v>40</v>
      </c>
      <c r="H362" s="14" t="s">
        <v>40</v>
      </c>
      <c r="I362" s="15" t="s">
        <v>132</v>
      </c>
      <c r="J362" s="39"/>
      <c r="K362" s="33">
        <f t="shared" si="28"/>
        <v>-210801.32</v>
      </c>
      <c r="L362" s="33"/>
    </row>
    <row r="363" spans="1:12" ht="15.75" hidden="1">
      <c r="A363" s="28">
        <f t="shared" si="29"/>
        <v>41</v>
      </c>
      <c r="B363" s="14" t="s">
        <v>41</v>
      </c>
      <c r="C363" s="15" t="s">
        <v>132</v>
      </c>
      <c r="D363" s="39">
        <v>-15962.04</v>
      </c>
      <c r="E363" s="33">
        <f t="shared" si="27"/>
        <v>-225732.36</v>
      </c>
      <c r="F363" s="8"/>
      <c r="G363" s="38">
        <f t="shared" si="30"/>
        <v>41</v>
      </c>
      <c r="H363" s="14" t="s">
        <v>41</v>
      </c>
      <c r="I363" s="15" t="s">
        <v>132</v>
      </c>
      <c r="J363" s="39">
        <v>-15952.94</v>
      </c>
      <c r="K363" s="33">
        <f t="shared" si="28"/>
        <v>-226754.26</v>
      </c>
      <c r="L363" s="33">
        <f t="shared" si="26"/>
        <v>9.1000000000003602</v>
      </c>
    </row>
    <row r="364" spans="1:12" ht="15.75" hidden="1">
      <c r="A364" s="28">
        <f t="shared" si="29"/>
        <v>42</v>
      </c>
      <c r="B364" s="14" t="s">
        <v>42</v>
      </c>
      <c r="C364" s="15" t="s">
        <v>132</v>
      </c>
      <c r="D364" s="39">
        <v>-1981.66</v>
      </c>
      <c r="E364" s="33">
        <f t="shared" si="27"/>
        <v>-227714.02</v>
      </c>
      <c r="F364" s="8"/>
      <c r="G364" s="38">
        <f t="shared" si="30"/>
        <v>42</v>
      </c>
      <c r="H364" s="14" t="s">
        <v>42</v>
      </c>
      <c r="I364" s="15" t="s">
        <v>132</v>
      </c>
      <c r="J364" s="39">
        <v>-2219.16</v>
      </c>
      <c r="K364" s="33">
        <f t="shared" si="28"/>
        <v>-228973.42</v>
      </c>
      <c r="L364" s="33">
        <f t="shared" si="26"/>
        <v>-237.5</v>
      </c>
    </row>
    <row r="365" spans="1:12" ht="15.75" hidden="1">
      <c r="A365" s="28">
        <f t="shared" si="29"/>
        <v>43</v>
      </c>
      <c r="B365" s="14" t="s">
        <v>43</v>
      </c>
      <c r="C365" s="15" t="s">
        <v>132</v>
      </c>
      <c r="D365" s="39">
        <v>-5.8</v>
      </c>
      <c r="E365" s="33">
        <f t="shared" si="27"/>
        <v>-227719.82</v>
      </c>
      <c r="F365" s="8"/>
      <c r="G365" s="38">
        <f t="shared" si="30"/>
        <v>43</v>
      </c>
      <c r="H365" s="14" t="s">
        <v>43</v>
      </c>
      <c r="I365" s="15" t="s">
        <v>132</v>
      </c>
      <c r="J365" s="39">
        <v>-20.3</v>
      </c>
      <c r="K365" s="33">
        <f t="shared" si="28"/>
        <v>-228993.72</v>
      </c>
      <c r="L365" s="33">
        <f t="shared" si="26"/>
        <v>-14.5</v>
      </c>
    </row>
    <row r="366" spans="1:12" ht="15.75" hidden="1">
      <c r="A366" s="28">
        <f t="shared" si="29"/>
        <v>44</v>
      </c>
      <c r="B366" s="14" t="s">
        <v>44</v>
      </c>
      <c r="C366" s="15" t="s">
        <v>132</v>
      </c>
      <c r="D366" s="39">
        <v>-3104.18</v>
      </c>
      <c r="E366" s="33">
        <f t="shared" si="27"/>
        <v>-230824</v>
      </c>
      <c r="F366" s="8"/>
      <c r="G366" s="38">
        <f t="shared" si="30"/>
        <v>44</v>
      </c>
      <c r="H366" s="14" t="s">
        <v>44</v>
      </c>
      <c r="I366" s="15" t="s">
        <v>132</v>
      </c>
      <c r="J366" s="39">
        <v>-3055.18</v>
      </c>
      <c r="K366" s="33">
        <f t="shared" si="28"/>
        <v>-232048.9</v>
      </c>
      <c r="L366" s="33">
        <f t="shared" si="26"/>
        <v>49</v>
      </c>
    </row>
    <row r="367" spans="1:12" ht="15.75" hidden="1">
      <c r="A367" s="28">
        <f t="shared" si="29"/>
        <v>45</v>
      </c>
      <c r="B367" s="48" t="s">
        <v>45</v>
      </c>
      <c r="C367" s="49" t="s">
        <v>132</v>
      </c>
      <c r="D367" s="39"/>
      <c r="E367" s="33">
        <f t="shared" si="27"/>
        <v>-230824</v>
      </c>
      <c r="F367" s="8"/>
      <c r="G367" s="38">
        <f t="shared" si="30"/>
        <v>45</v>
      </c>
      <c r="H367" s="48" t="s">
        <v>45</v>
      </c>
      <c r="I367" s="49" t="s">
        <v>132</v>
      </c>
      <c r="J367" s="39"/>
      <c r="K367" s="33">
        <f t="shared" si="28"/>
        <v>-232048.9</v>
      </c>
      <c r="L367" s="33"/>
    </row>
    <row r="368" spans="1:12" ht="15.75" hidden="1">
      <c r="A368" s="28">
        <f t="shared" si="29"/>
        <v>46</v>
      </c>
      <c r="B368" s="50" t="s">
        <v>46</v>
      </c>
      <c r="C368" s="49" t="s">
        <v>132</v>
      </c>
      <c r="D368" s="39">
        <v>-19109.8</v>
      </c>
      <c r="E368" s="33">
        <f t="shared" si="27"/>
        <v>-249933.8</v>
      </c>
      <c r="F368" s="8"/>
      <c r="G368" s="38">
        <f t="shared" si="30"/>
        <v>46</v>
      </c>
      <c r="H368" s="50" t="s">
        <v>46</v>
      </c>
      <c r="I368" s="49" t="s">
        <v>132</v>
      </c>
      <c r="J368" s="39">
        <v>-19721.2</v>
      </c>
      <c r="K368" s="33">
        <f t="shared" si="28"/>
        <v>-251770.1</v>
      </c>
      <c r="L368" s="33">
        <f t="shared" si="26"/>
        <v>-611.400000000001</v>
      </c>
    </row>
    <row r="369" spans="1:12" ht="15.75" hidden="1">
      <c r="A369" s="28">
        <f t="shared" si="29"/>
        <v>47</v>
      </c>
      <c r="B369" s="14" t="s">
        <v>47</v>
      </c>
      <c r="C369" s="15" t="s">
        <v>132</v>
      </c>
      <c r="D369" s="39">
        <v>-166.97</v>
      </c>
      <c r="E369" s="33">
        <f t="shared" si="27"/>
        <v>-250100.77</v>
      </c>
      <c r="F369" s="8"/>
      <c r="G369" s="38">
        <f t="shared" si="30"/>
        <v>47</v>
      </c>
      <c r="H369" s="14" t="s">
        <v>47</v>
      </c>
      <c r="I369" s="15" t="s">
        <v>132</v>
      </c>
      <c r="J369" s="39">
        <v>-121.57</v>
      </c>
      <c r="K369" s="33">
        <f t="shared" si="28"/>
        <v>-251891.67</v>
      </c>
      <c r="L369" s="33">
        <f t="shared" si="26"/>
        <v>45.4</v>
      </c>
    </row>
    <row r="370" spans="1:12" ht="15.75" hidden="1">
      <c r="A370" s="28">
        <f t="shared" si="29"/>
        <v>48</v>
      </c>
      <c r="B370" s="14" t="s">
        <v>48</v>
      </c>
      <c r="C370" s="15" t="s">
        <v>132</v>
      </c>
      <c r="D370" s="39">
        <v>-438.92</v>
      </c>
      <c r="E370" s="33">
        <f t="shared" si="27"/>
        <v>-250539.69</v>
      </c>
      <c r="F370" s="8"/>
      <c r="G370" s="38">
        <f t="shared" si="30"/>
        <v>48</v>
      </c>
      <c r="H370" s="14" t="s">
        <v>48</v>
      </c>
      <c r="I370" s="15" t="s">
        <v>132</v>
      </c>
      <c r="J370" s="39">
        <v>-153.32</v>
      </c>
      <c r="K370" s="33">
        <f t="shared" si="28"/>
        <v>-252044.99</v>
      </c>
      <c r="L370" s="33">
        <f t="shared" si="26"/>
        <v>285.60000000000002</v>
      </c>
    </row>
    <row r="371" spans="1:12" ht="15.75" hidden="1">
      <c r="A371" s="28">
        <f t="shared" si="29"/>
        <v>49</v>
      </c>
      <c r="B371" s="14" t="s">
        <v>49</v>
      </c>
      <c r="C371" s="15" t="s">
        <v>132</v>
      </c>
      <c r="D371" s="39">
        <v>-1037.22</v>
      </c>
      <c r="E371" s="33">
        <f t="shared" si="27"/>
        <v>-251576.91</v>
      </c>
      <c r="F371" s="8"/>
      <c r="G371" s="38">
        <f t="shared" si="30"/>
        <v>49</v>
      </c>
      <c r="H371" s="14" t="s">
        <v>49</v>
      </c>
      <c r="I371" s="15" t="s">
        <v>132</v>
      </c>
      <c r="J371" s="39">
        <v>-961.72</v>
      </c>
      <c r="K371" s="33">
        <f t="shared" si="28"/>
        <v>-253006.71</v>
      </c>
      <c r="L371" s="33">
        <f t="shared" si="26"/>
        <v>75.5</v>
      </c>
    </row>
    <row r="372" spans="1:12" ht="15.75" hidden="1">
      <c r="A372" s="28">
        <f t="shared" si="29"/>
        <v>50</v>
      </c>
      <c r="B372" s="43" t="s">
        <v>50</v>
      </c>
      <c r="C372" s="23" t="s">
        <v>132</v>
      </c>
      <c r="D372" s="39">
        <v>-487.66</v>
      </c>
      <c r="E372" s="33">
        <f t="shared" si="27"/>
        <v>-252064.57</v>
      </c>
      <c r="F372" s="8"/>
      <c r="G372" s="38">
        <f t="shared" si="30"/>
        <v>50</v>
      </c>
      <c r="H372" s="14" t="s">
        <v>50</v>
      </c>
      <c r="I372" s="15" t="s">
        <v>132</v>
      </c>
      <c r="J372" s="39">
        <v>-372.76</v>
      </c>
      <c r="K372" s="33">
        <f t="shared" si="28"/>
        <v>-253379.47</v>
      </c>
      <c r="L372" s="33">
        <f t="shared" si="26"/>
        <v>114.9</v>
      </c>
    </row>
    <row r="373" spans="1:12" ht="15.75" hidden="1">
      <c r="A373" s="28">
        <f t="shared" si="29"/>
        <v>51</v>
      </c>
      <c r="B373" s="25" t="s">
        <v>51</v>
      </c>
      <c r="C373" s="26" t="s">
        <v>133</v>
      </c>
      <c r="D373" s="39">
        <v>-385.24</v>
      </c>
      <c r="E373" s="33">
        <f t="shared" si="27"/>
        <v>-252449.81</v>
      </c>
      <c r="F373" s="8"/>
      <c r="G373" s="38">
        <f t="shared" si="30"/>
        <v>51</v>
      </c>
      <c r="H373" s="25" t="s">
        <v>51</v>
      </c>
      <c r="I373" s="26" t="s">
        <v>133</v>
      </c>
      <c r="J373" s="39"/>
      <c r="K373" s="33">
        <f t="shared" si="28"/>
        <v>-253379.47</v>
      </c>
      <c r="L373" s="33">
        <f t="shared" si="26"/>
        <v>385.24</v>
      </c>
    </row>
    <row r="374" spans="1:12" ht="15.75" hidden="1">
      <c r="A374" s="28">
        <f t="shared" si="29"/>
        <v>52</v>
      </c>
      <c r="B374" s="14" t="s">
        <v>52</v>
      </c>
      <c r="C374" s="15" t="s">
        <v>133</v>
      </c>
      <c r="D374" s="39"/>
      <c r="E374" s="33">
        <f t="shared" si="27"/>
        <v>-252449.81</v>
      </c>
      <c r="F374" s="8"/>
      <c r="G374" s="38">
        <f t="shared" si="30"/>
        <v>52</v>
      </c>
      <c r="H374" s="14" t="s">
        <v>52</v>
      </c>
      <c r="I374" s="15" t="s">
        <v>133</v>
      </c>
      <c r="J374" s="39"/>
      <c r="K374" s="33">
        <f t="shared" si="28"/>
        <v>-253379.47</v>
      </c>
      <c r="L374" s="33"/>
    </row>
    <row r="375" spans="1:12" ht="15.75" hidden="1">
      <c r="A375" s="28">
        <f t="shared" si="29"/>
        <v>53</v>
      </c>
      <c r="B375" s="14" t="s">
        <v>53</v>
      </c>
      <c r="C375" s="15" t="s">
        <v>133</v>
      </c>
      <c r="D375" s="39">
        <v>-1654.56</v>
      </c>
      <c r="E375" s="33">
        <f t="shared" si="27"/>
        <v>-254104.37</v>
      </c>
      <c r="F375" s="8"/>
      <c r="G375" s="38">
        <f t="shared" si="30"/>
        <v>53</v>
      </c>
      <c r="H375" s="14" t="s">
        <v>53</v>
      </c>
      <c r="I375" s="15" t="s">
        <v>133</v>
      </c>
      <c r="J375" s="39">
        <v>-1415.62</v>
      </c>
      <c r="K375" s="33">
        <f t="shared" si="28"/>
        <v>-254795.09</v>
      </c>
      <c r="L375" s="33">
        <f t="shared" si="26"/>
        <v>238.94</v>
      </c>
    </row>
    <row r="376" spans="1:12" ht="15.75" hidden="1">
      <c r="A376" s="28">
        <f t="shared" si="29"/>
        <v>54</v>
      </c>
      <c r="B376" s="14" t="s">
        <v>54</v>
      </c>
      <c r="C376" s="15" t="s">
        <v>133</v>
      </c>
      <c r="D376" s="39"/>
      <c r="E376" s="33">
        <f t="shared" si="27"/>
        <v>-254104.37</v>
      </c>
      <c r="F376" s="8"/>
      <c r="G376" s="38">
        <f t="shared" si="30"/>
        <v>54</v>
      </c>
      <c r="H376" s="14" t="s">
        <v>54</v>
      </c>
      <c r="I376" s="15" t="s">
        <v>133</v>
      </c>
      <c r="J376" s="39"/>
      <c r="K376" s="33">
        <f t="shared" si="28"/>
        <v>-254795.09</v>
      </c>
      <c r="L376" s="33"/>
    </row>
    <row r="377" spans="1:12" ht="15.75" hidden="1">
      <c r="A377" s="28">
        <f t="shared" si="29"/>
        <v>55</v>
      </c>
      <c r="B377" s="14" t="s">
        <v>55</v>
      </c>
      <c r="C377" s="15" t="s">
        <v>133</v>
      </c>
      <c r="D377" s="39">
        <v>-5398.13</v>
      </c>
      <c r="E377" s="33">
        <f t="shared" si="27"/>
        <v>-259502.5</v>
      </c>
      <c r="F377" s="8"/>
      <c r="G377" s="38">
        <f t="shared" si="30"/>
        <v>55</v>
      </c>
      <c r="H377" s="14" t="s">
        <v>55</v>
      </c>
      <c r="I377" s="15" t="s">
        <v>133</v>
      </c>
      <c r="J377" s="39">
        <v>-5493.03</v>
      </c>
      <c r="K377" s="33">
        <f t="shared" si="28"/>
        <v>-260288.12</v>
      </c>
      <c r="L377" s="33">
        <f t="shared" si="26"/>
        <v>-94.899999999999594</v>
      </c>
    </row>
    <row r="378" spans="1:12" ht="15.75" hidden="1">
      <c r="A378" s="28">
        <f t="shared" si="29"/>
        <v>56</v>
      </c>
      <c r="B378" s="14" t="s">
        <v>56</v>
      </c>
      <c r="C378" s="15" t="s">
        <v>133</v>
      </c>
      <c r="D378" s="39">
        <v>-4125.62</v>
      </c>
      <c r="E378" s="33">
        <f t="shared" si="27"/>
        <v>-263628.12</v>
      </c>
      <c r="F378" s="8"/>
      <c r="G378" s="38">
        <f t="shared" si="30"/>
        <v>56</v>
      </c>
      <c r="H378" s="14" t="s">
        <v>56</v>
      </c>
      <c r="I378" s="15" t="s">
        <v>133</v>
      </c>
      <c r="J378" s="39">
        <v>-4039.42</v>
      </c>
      <c r="K378" s="33">
        <f t="shared" si="28"/>
        <v>-264327.53999999998</v>
      </c>
      <c r="L378" s="33">
        <f t="shared" si="26"/>
        <v>86.199999999999804</v>
      </c>
    </row>
    <row r="379" spans="1:12" ht="15.75" hidden="1">
      <c r="A379" s="28">
        <f t="shared" si="29"/>
        <v>57</v>
      </c>
      <c r="B379" s="14" t="s">
        <v>57</v>
      </c>
      <c r="C379" s="15" t="s">
        <v>133</v>
      </c>
      <c r="D379" s="39"/>
      <c r="E379" s="33">
        <f t="shared" si="27"/>
        <v>-263628.12</v>
      </c>
      <c r="F379" s="8"/>
      <c r="G379" s="38">
        <f t="shared" si="30"/>
        <v>57</v>
      </c>
      <c r="H379" s="14" t="s">
        <v>57</v>
      </c>
      <c r="I379" s="15" t="s">
        <v>133</v>
      </c>
      <c r="J379" s="39"/>
      <c r="K379" s="33">
        <f t="shared" si="28"/>
        <v>-264327.53999999998</v>
      </c>
      <c r="L379" s="33"/>
    </row>
    <row r="380" spans="1:12" ht="15.75" hidden="1">
      <c r="A380" s="28">
        <f t="shared" si="29"/>
        <v>58</v>
      </c>
      <c r="B380" s="43" t="s">
        <v>58</v>
      </c>
      <c r="C380" s="23" t="s">
        <v>133</v>
      </c>
      <c r="D380" s="39">
        <v>-10428.1</v>
      </c>
      <c r="E380" s="33">
        <f t="shared" si="27"/>
        <v>-274056.21999999997</v>
      </c>
      <c r="F380" s="8"/>
      <c r="G380" s="38">
        <f t="shared" si="30"/>
        <v>58</v>
      </c>
      <c r="H380" s="43" t="s">
        <v>58</v>
      </c>
      <c r="I380" s="23" t="s">
        <v>133</v>
      </c>
      <c r="J380" s="39">
        <v>-10680.4</v>
      </c>
      <c r="K380" s="33">
        <f t="shared" si="28"/>
        <v>-275007.94</v>
      </c>
      <c r="L380" s="33">
        <f t="shared" si="26"/>
        <v>-252.29999999999899</v>
      </c>
    </row>
    <row r="381" spans="1:12" ht="15.75" hidden="1">
      <c r="A381" s="28">
        <f t="shared" si="29"/>
        <v>59</v>
      </c>
      <c r="B381" s="25" t="s">
        <v>59</v>
      </c>
      <c r="C381" s="26" t="s">
        <v>134</v>
      </c>
      <c r="D381" s="39"/>
      <c r="E381" s="33">
        <f t="shared" si="27"/>
        <v>-274056.21999999997</v>
      </c>
      <c r="F381" s="8"/>
      <c r="G381" s="38">
        <f t="shared" si="30"/>
        <v>59</v>
      </c>
      <c r="H381" s="25" t="s">
        <v>59</v>
      </c>
      <c r="I381" s="26" t="s">
        <v>134</v>
      </c>
      <c r="J381" s="39"/>
      <c r="K381" s="33">
        <f t="shared" si="28"/>
        <v>-275007.94</v>
      </c>
      <c r="L381" s="33"/>
    </row>
    <row r="382" spans="1:12" ht="15.75" hidden="1">
      <c r="A382" s="28">
        <f t="shared" si="29"/>
        <v>60</v>
      </c>
      <c r="B382" s="14" t="s">
        <v>60</v>
      </c>
      <c r="C382" s="15" t="s">
        <v>134</v>
      </c>
      <c r="D382" s="39">
        <v>-192.98</v>
      </c>
      <c r="E382" s="33">
        <f t="shared" si="27"/>
        <v>-274249.2</v>
      </c>
      <c r="F382" s="8"/>
      <c r="G382" s="38">
        <f t="shared" si="30"/>
        <v>60</v>
      </c>
      <c r="H382" s="14" t="s">
        <v>60</v>
      </c>
      <c r="I382" s="15" t="s">
        <v>134</v>
      </c>
      <c r="J382" s="39">
        <v>-216.18</v>
      </c>
      <c r="K382" s="33">
        <f t="shared" si="28"/>
        <v>-275224.12</v>
      </c>
      <c r="L382" s="33">
        <f t="shared" si="26"/>
        <v>-23.2</v>
      </c>
    </row>
    <row r="383" spans="1:12" ht="15.75" hidden="1">
      <c r="A383" s="28">
        <f t="shared" si="29"/>
        <v>61</v>
      </c>
      <c r="B383" s="14" t="s">
        <v>61</v>
      </c>
      <c r="C383" s="15" t="s">
        <v>134</v>
      </c>
      <c r="D383" s="39">
        <v>-92.09</v>
      </c>
      <c r="E383" s="33">
        <f t="shared" si="27"/>
        <v>-274341.28999999998</v>
      </c>
      <c r="F383" s="8"/>
      <c r="G383" s="38">
        <f t="shared" si="30"/>
        <v>61</v>
      </c>
      <c r="H383" s="14" t="s">
        <v>61</v>
      </c>
      <c r="I383" s="15" t="s">
        <v>134</v>
      </c>
      <c r="J383" s="39">
        <v>-43.69</v>
      </c>
      <c r="K383" s="33">
        <f t="shared" si="28"/>
        <v>-275267.81</v>
      </c>
      <c r="L383" s="33">
        <f t="shared" si="26"/>
        <v>48.4</v>
      </c>
    </row>
    <row r="384" spans="1:12" ht="15.75" hidden="1">
      <c r="A384" s="28">
        <f t="shared" si="29"/>
        <v>62</v>
      </c>
      <c r="B384" s="14" t="s">
        <v>62</v>
      </c>
      <c r="C384" s="15" t="s">
        <v>134</v>
      </c>
      <c r="D384" s="39"/>
      <c r="E384" s="33">
        <f t="shared" si="27"/>
        <v>-274341.28999999998</v>
      </c>
      <c r="F384" s="8"/>
      <c r="G384" s="38">
        <f t="shared" si="30"/>
        <v>62</v>
      </c>
      <c r="H384" s="14" t="s">
        <v>62</v>
      </c>
      <c r="I384" s="15" t="s">
        <v>134</v>
      </c>
      <c r="J384" s="39"/>
      <c r="K384" s="33">
        <f t="shared" si="28"/>
        <v>-275267.81</v>
      </c>
      <c r="L384" s="33"/>
    </row>
    <row r="385" spans="1:16" ht="15.75" hidden="1">
      <c r="A385" s="28">
        <f t="shared" si="29"/>
        <v>63</v>
      </c>
      <c r="B385" s="14" t="s">
        <v>63</v>
      </c>
      <c r="C385" s="15" t="s">
        <v>134</v>
      </c>
      <c r="D385" s="39"/>
      <c r="E385" s="33">
        <f t="shared" si="27"/>
        <v>-274341.28999999998</v>
      </c>
      <c r="F385" s="8"/>
      <c r="G385" s="38">
        <f t="shared" si="30"/>
        <v>63</v>
      </c>
      <c r="H385" s="14" t="s">
        <v>63</v>
      </c>
      <c r="I385" s="15" t="s">
        <v>134</v>
      </c>
      <c r="J385" s="39"/>
      <c r="K385" s="33">
        <f t="shared" si="28"/>
        <v>-275267.81</v>
      </c>
      <c r="L385" s="33"/>
    </row>
    <row r="386" spans="1:16" ht="15.75" hidden="1">
      <c r="A386" s="28">
        <f t="shared" si="29"/>
        <v>64</v>
      </c>
      <c r="B386" s="14" t="s">
        <v>64</v>
      </c>
      <c r="C386" s="15" t="s">
        <v>134</v>
      </c>
      <c r="D386" s="39"/>
      <c r="E386" s="33">
        <f t="shared" si="27"/>
        <v>-274341.28999999998</v>
      </c>
      <c r="F386" s="8"/>
      <c r="G386" s="38">
        <f t="shared" si="30"/>
        <v>64</v>
      </c>
      <c r="H386" s="14" t="s">
        <v>64</v>
      </c>
      <c r="I386" s="15" t="s">
        <v>134</v>
      </c>
      <c r="J386" s="39"/>
      <c r="K386" s="33">
        <f t="shared" si="28"/>
        <v>-275267.81</v>
      </c>
      <c r="L386" s="33"/>
      <c r="M386" s="8"/>
      <c r="N386" s="25" t="s">
        <v>1</v>
      </c>
      <c r="O386" s="26" t="s">
        <v>119</v>
      </c>
      <c r="P386" s="1">
        <v>-4433.29</v>
      </c>
    </row>
    <row r="387" spans="1:16" ht="15.75" hidden="1">
      <c r="A387" s="28">
        <f t="shared" si="29"/>
        <v>65</v>
      </c>
      <c r="B387" s="14" t="s">
        <v>65</v>
      </c>
      <c r="C387" s="15" t="s">
        <v>134</v>
      </c>
      <c r="D387" s="39"/>
      <c r="E387" s="33">
        <f t="shared" si="27"/>
        <v>-274341.28999999998</v>
      </c>
      <c r="F387" s="8"/>
      <c r="G387" s="38">
        <f t="shared" si="30"/>
        <v>65</v>
      </c>
      <c r="H387" s="14" t="s">
        <v>65</v>
      </c>
      <c r="I387" s="15" t="s">
        <v>134</v>
      </c>
      <c r="J387" s="39"/>
      <c r="K387" s="33">
        <f t="shared" si="28"/>
        <v>-275267.81</v>
      </c>
      <c r="L387" s="33"/>
      <c r="M387" s="8"/>
      <c r="N387" s="14" t="s">
        <v>2</v>
      </c>
      <c r="O387" s="15" t="s">
        <v>119</v>
      </c>
      <c r="P387" s="1">
        <v>-1870</v>
      </c>
    </row>
    <row r="388" spans="1:16" ht="15.75" hidden="1">
      <c r="A388" s="28">
        <f t="shared" si="29"/>
        <v>66</v>
      </c>
      <c r="B388" s="43" t="s">
        <v>66</v>
      </c>
      <c r="C388" s="23" t="s">
        <v>134</v>
      </c>
      <c r="D388" s="39"/>
      <c r="E388" s="44">
        <f t="shared" si="27"/>
        <v>-274341.28999999998</v>
      </c>
      <c r="F388" s="8"/>
      <c r="G388" s="38">
        <f t="shared" si="30"/>
        <v>66</v>
      </c>
      <c r="H388" s="43" t="s">
        <v>66</v>
      </c>
      <c r="I388" s="23" t="s">
        <v>134</v>
      </c>
      <c r="J388" s="39"/>
      <c r="K388" s="33">
        <f t="shared" si="28"/>
        <v>-275267.81</v>
      </c>
      <c r="L388" s="33"/>
      <c r="M388" s="8"/>
      <c r="N388" s="14" t="s">
        <v>3</v>
      </c>
      <c r="O388" s="15" t="s">
        <v>119</v>
      </c>
      <c r="P388" s="1">
        <v>-421.15</v>
      </c>
    </row>
    <row r="389" spans="1:16" ht="15.75" hidden="1">
      <c r="A389" s="28">
        <f t="shared" si="29"/>
        <v>67</v>
      </c>
      <c r="B389" s="25" t="s">
        <v>67</v>
      </c>
      <c r="C389" s="26" t="s">
        <v>135</v>
      </c>
      <c r="D389" s="39">
        <v>-1407.71</v>
      </c>
      <c r="E389" s="30">
        <f t="shared" ref="E389:E420" si="31">E388+D389</f>
        <v>-275749</v>
      </c>
      <c r="F389" s="8"/>
      <c r="G389" s="38">
        <f t="shared" si="30"/>
        <v>67</v>
      </c>
      <c r="H389" s="25" t="s">
        <v>67</v>
      </c>
      <c r="I389" s="26" t="s">
        <v>135</v>
      </c>
      <c r="J389" s="39">
        <v>-1508.51</v>
      </c>
      <c r="K389" s="33">
        <f t="shared" ref="K389:K420" si="32">K388+J389</f>
        <v>-276776.32000000001</v>
      </c>
      <c r="L389" s="33">
        <f t="shared" ref="L389:L421" si="33">J389-D389</f>
        <v>-100.8</v>
      </c>
      <c r="M389" s="8"/>
      <c r="N389" s="14" t="s">
        <v>4</v>
      </c>
      <c r="O389" s="15" t="s">
        <v>119</v>
      </c>
      <c r="P389" s="1">
        <v>-11267.16</v>
      </c>
    </row>
    <row r="390" spans="1:16" ht="15.75" hidden="1">
      <c r="A390" s="28">
        <f t="shared" si="29"/>
        <v>68</v>
      </c>
      <c r="B390" s="14" t="s">
        <v>68</v>
      </c>
      <c r="C390" s="15" t="s">
        <v>135</v>
      </c>
      <c r="D390" s="39">
        <v>-3046.96</v>
      </c>
      <c r="E390" s="33">
        <f t="shared" si="31"/>
        <v>-278795.96000000002</v>
      </c>
      <c r="F390" s="8"/>
      <c r="G390" s="38">
        <f t="shared" si="30"/>
        <v>68</v>
      </c>
      <c r="H390" s="14" t="s">
        <v>68</v>
      </c>
      <c r="I390" s="15" t="s">
        <v>135</v>
      </c>
      <c r="J390" s="39">
        <v>-3160.86</v>
      </c>
      <c r="K390" s="33">
        <f t="shared" si="32"/>
        <v>-279937.18</v>
      </c>
      <c r="L390" s="33">
        <f t="shared" si="33"/>
        <v>-113.9</v>
      </c>
      <c r="M390" s="8"/>
      <c r="N390" s="14" t="s">
        <v>5</v>
      </c>
      <c r="O390" s="15" t="s">
        <v>119</v>
      </c>
      <c r="P390" s="1"/>
    </row>
    <row r="391" spans="1:16" ht="15.75" hidden="1">
      <c r="A391" s="28">
        <f t="shared" si="29"/>
        <v>69</v>
      </c>
      <c r="B391" s="43" t="s">
        <v>69</v>
      </c>
      <c r="C391" s="23" t="s">
        <v>135</v>
      </c>
      <c r="D391" s="39">
        <v>-3458.66</v>
      </c>
      <c r="E391" s="44">
        <f t="shared" si="31"/>
        <v>-282254.62</v>
      </c>
      <c r="F391" s="8"/>
      <c r="G391" s="38">
        <f t="shared" si="30"/>
        <v>69</v>
      </c>
      <c r="H391" s="43" t="s">
        <v>69</v>
      </c>
      <c r="I391" s="23" t="s">
        <v>135</v>
      </c>
      <c r="J391" s="39">
        <v>-3667.86</v>
      </c>
      <c r="K391" s="33">
        <f t="shared" si="32"/>
        <v>-283605.03999999998</v>
      </c>
      <c r="L391" s="33">
        <f t="shared" si="33"/>
        <v>-209.2</v>
      </c>
      <c r="M391" s="8"/>
      <c r="N391" s="14" t="s">
        <v>6</v>
      </c>
      <c r="O391" s="15" t="s">
        <v>119</v>
      </c>
      <c r="P391" s="1">
        <v>-3201.9</v>
      </c>
    </row>
    <row r="392" spans="1:16" ht="15.75" hidden="1">
      <c r="A392" s="28">
        <f t="shared" si="29"/>
        <v>70</v>
      </c>
      <c r="B392" s="25" t="s">
        <v>136</v>
      </c>
      <c r="C392" s="26" t="s">
        <v>137</v>
      </c>
      <c r="D392" s="39">
        <v>-3049.18</v>
      </c>
      <c r="E392" s="30">
        <f t="shared" si="31"/>
        <v>-285303.8</v>
      </c>
      <c r="F392" s="8"/>
      <c r="G392" s="38">
        <f t="shared" si="30"/>
        <v>70</v>
      </c>
      <c r="H392" s="25" t="s">
        <v>136</v>
      </c>
      <c r="I392" s="26" t="s">
        <v>137</v>
      </c>
      <c r="J392" s="39">
        <v>-3053.28</v>
      </c>
      <c r="K392" s="33">
        <f t="shared" si="32"/>
        <v>-286658.32</v>
      </c>
      <c r="L392" s="33">
        <f t="shared" si="33"/>
        <v>-4.1000000000003602</v>
      </c>
      <c r="M392" s="8"/>
      <c r="N392" s="14" t="s">
        <v>7</v>
      </c>
      <c r="O392" s="15" t="s">
        <v>119</v>
      </c>
      <c r="P392" s="1">
        <v>-313.3</v>
      </c>
    </row>
    <row r="393" spans="1:16" ht="15.75" hidden="1">
      <c r="A393" s="28">
        <f t="shared" si="29"/>
        <v>71</v>
      </c>
      <c r="B393" s="14" t="s">
        <v>71</v>
      </c>
      <c r="C393" s="15" t="s">
        <v>137</v>
      </c>
      <c r="D393" s="39"/>
      <c r="E393" s="33">
        <f t="shared" si="31"/>
        <v>-285303.8</v>
      </c>
      <c r="F393" s="8"/>
      <c r="G393" s="38">
        <f t="shared" si="30"/>
        <v>71</v>
      </c>
      <c r="H393" s="14" t="s">
        <v>71</v>
      </c>
      <c r="I393" s="15" t="s">
        <v>137</v>
      </c>
      <c r="J393" s="39"/>
      <c r="K393" s="33">
        <f t="shared" si="32"/>
        <v>-286658.32</v>
      </c>
      <c r="L393" s="33"/>
      <c r="M393" s="8"/>
      <c r="N393" s="14" t="s">
        <v>8</v>
      </c>
      <c r="O393" s="15" t="s">
        <v>119</v>
      </c>
      <c r="P393" s="1">
        <v>1250</v>
      </c>
    </row>
    <row r="394" spans="1:16" ht="15.75" hidden="1">
      <c r="A394" s="28">
        <f t="shared" si="29"/>
        <v>72</v>
      </c>
      <c r="B394" s="14" t="s">
        <v>72</v>
      </c>
      <c r="C394" s="15" t="s">
        <v>137</v>
      </c>
      <c r="D394" s="39"/>
      <c r="E394" s="33">
        <f t="shared" si="31"/>
        <v>-285303.8</v>
      </c>
      <c r="F394" s="8"/>
      <c r="G394" s="38">
        <f t="shared" si="30"/>
        <v>72</v>
      </c>
      <c r="H394" s="14" t="s">
        <v>72</v>
      </c>
      <c r="I394" s="15" t="s">
        <v>137</v>
      </c>
      <c r="J394" s="39"/>
      <c r="K394" s="33">
        <f t="shared" si="32"/>
        <v>-286658.32</v>
      </c>
      <c r="L394" s="33"/>
      <c r="M394" s="8"/>
      <c r="N394" s="14" t="s">
        <v>9</v>
      </c>
      <c r="O394" s="15" t="s">
        <v>119</v>
      </c>
      <c r="P394" s="1">
        <v>-3234.3</v>
      </c>
    </row>
    <row r="395" spans="1:16" ht="15.75" hidden="1">
      <c r="A395" s="28">
        <f t="shared" si="29"/>
        <v>73</v>
      </c>
      <c r="B395" s="14" t="s">
        <v>138</v>
      </c>
      <c r="C395" s="15" t="s">
        <v>137</v>
      </c>
      <c r="D395" s="39"/>
      <c r="E395" s="33">
        <f t="shared" si="31"/>
        <v>-285303.8</v>
      </c>
      <c r="F395" s="8"/>
      <c r="G395" s="38">
        <f t="shared" si="30"/>
        <v>73</v>
      </c>
      <c r="H395" s="14" t="s">
        <v>138</v>
      </c>
      <c r="I395" s="15" t="s">
        <v>137</v>
      </c>
      <c r="J395" s="39"/>
      <c r="K395" s="33">
        <f t="shared" si="32"/>
        <v>-286658.32</v>
      </c>
      <c r="L395" s="33"/>
      <c r="M395" s="8"/>
      <c r="N395" s="14" t="s">
        <v>10</v>
      </c>
      <c r="O395" s="15" t="s">
        <v>119</v>
      </c>
      <c r="P395" s="1">
        <v>-162.6</v>
      </c>
    </row>
    <row r="396" spans="1:16" ht="15.75" hidden="1">
      <c r="A396" s="28">
        <f t="shared" si="29"/>
        <v>74</v>
      </c>
      <c r="B396" s="14" t="s">
        <v>74</v>
      </c>
      <c r="C396" s="15" t="s">
        <v>137</v>
      </c>
      <c r="D396" s="39">
        <v>-5448.8</v>
      </c>
      <c r="E396" s="33">
        <f t="shared" si="31"/>
        <v>-290752.59999999998</v>
      </c>
      <c r="F396" s="8"/>
      <c r="G396" s="38">
        <f t="shared" si="30"/>
        <v>74</v>
      </c>
      <c r="H396" s="14" t="s">
        <v>74</v>
      </c>
      <c r="I396" s="15" t="s">
        <v>137</v>
      </c>
      <c r="J396" s="39">
        <v>-4521.8</v>
      </c>
      <c r="K396" s="33">
        <f t="shared" si="32"/>
        <v>-291180.12</v>
      </c>
      <c r="L396" s="33">
        <f t="shared" si="33"/>
        <v>927</v>
      </c>
      <c r="M396" s="8"/>
      <c r="N396" s="43" t="s">
        <v>11</v>
      </c>
      <c r="O396" s="23" t="s">
        <v>119</v>
      </c>
      <c r="P396" s="1">
        <v>558.88</v>
      </c>
    </row>
    <row r="397" spans="1:16" ht="15.75" hidden="1">
      <c r="A397" s="28">
        <f t="shared" si="29"/>
        <v>75</v>
      </c>
      <c r="B397" s="14" t="s">
        <v>75</v>
      </c>
      <c r="C397" s="15" t="s">
        <v>137</v>
      </c>
      <c r="D397" s="39">
        <v>-18206.29</v>
      </c>
      <c r="E397" s="33">
        <f t="shared" si="31"/>
        <v>-308958.89</v>
      </c>
      <c r="F397" s="8"/>
      <c r="G397" s="38">
        <f t="shared" si="30"/>
        <v>75</v>
      </c>
      <c r="H397" s="14" t="s">
        <v>75</v>
      </c>
      <c r="I397" s="15" t="s">
        <v>137</v>
      </c>
      <c r="J397" s="39">
        <v>-16191.79</v>
      </c>
      <c r="K397" s="33">
        <f t="shared" si="32"/>
        <v>-307371.90999999997</v>
      </c>
      <c r="L397" s="33">
        <f t="shared" si="33"/>
        <v>2014.5</v>
      </c>
      <c r="M397" s="8"/>
      <c r="N397" s="25" t="s">
        <v>12</v>
      </c>
      <c r="O397" s="26" t="s">
        <v>123</v>
      </c>
      <c r="P397" s="1">
        <v>-25250.6</v>
      </c>
    </row>
    <row r="398" spans="1:16" ht="15.75" hidden="1">
      <c r="A398" s="28">
        <f t="shared" si="29"/>
        <v>76</v>
      </c>
      <c r="B398" s="43" t="s">
        <v>76</v>
      </c>
      <c r="C398" s="23" t="s">
        <v>137</v>
      </c>
      <c r="D398" s="39">
        <v>-49067.54</v>
      </c>
      <c r="E398" s="44">
        <f t="shared" si="31"/>
        <v>-358026.43</v>
      </c>
      <c r="F398" s="8"/>
      <c r="G398" s="38">
        <f t="shared" si="30"/>
        <v>76</v>
      </c>
      <c r="H398" s="43" t="s">
        <v>76</v>
      </c>
      <c r="I398" s="23" t="s">
        <v>137</v>
      </c>
      <c r="J398" s="39">
        <v>-48576.94</v>
      </c>
      <c r="K398" s="33">
        <f t="shared" si="32"/>
        <v>-355948.85</v>
      </c>
      <c r="L398" s="33">
        <f t="shared" si="33"/>
        <v>490.599999999999</v>
      </c>
      <c r="M398" s="8"/>
      <c r="N398" s="14" t="s">
        <v>13</v>
      </c>
      <c r="O398" s="15" t="s">
        <v>123</v>
      </c>
      <c r="P398" s="1">
        <v>-5408.6</v>
      </c>
    </row>
    <row r="399" spans="1:16" ht="15.75" hidden="1">
      <c r="A399" s="28">
        <f t="shared" si="29"/>
        <v>77</v>
      </c>
      <c r="B399" s="25" t="s">
        <v>77</v>
      </c>
      <c r="C399" s="26" t="s">
        <v>139</v>
      </c>
      <c r="D399" s="39"/>
      <c r="E399" s="30">
        <f t="shared" si="31"/>
        <v>-358026.43</v>
      </c>
      <c r="F399" s="8"/>
      <c r="G399" s="38">
        <f t="shared" si="30"/>
        <v>77</v>
      </c>
      <c r="H399" s="25" t="s">
        <v>77</v>
      </c>
      <c r="I399" s="26" t="s">
        <v>139</v>
      </c>
      <c r="J399" s="39"/>
      <c r="K399" s="33">
        <f t="shared" si="32"/>
        <v>-355948.85</v>
      </c>
      <c r="L399" s="33"/>
      <c r="M399" s="8"/>
      <c r="N399" s="14" t="s">
        <v>14</v>
      </c>
      <c r="O399" s="15" t="s">
        <v>123</v>
      </c>
      <c r="P399" s="1">
        <v>-2144.6</v>
      </c>
    </row>
    <row r="400" spans="1:16" ht="15.75" hidden="1">
      <c r="A400" s="28">
        <f t="shared" si="29"/>
        <v>78</v>
      </c>
      <c r="B400" s="14" t="s">
        <v>78</v>
      </c>
      <c r="C400" s="15" t="s">
        <v>139</v>
      </c>
      <c r="D400" s="39"/>
      <c r="E400" s="33">
        <f t="shared" si="31"/>
        <v>-358026.43</v>
      </c>
      <c r="F400" s="8"/>
      <c r="G400" s="38">
        <f t="shared" si="30"/>
        <v>78</v>
      </c>
      <c r="H400" s="14" t="s">
        <v>78</v>
      </c>
      <c r="I400" s="15" t="s">
        <v>139</v>
      </c>
      <c r="J400" s="39"/>
      <c r="K400" s="33">
        <f t="shared" si="32"/>
        <v>-355948.85</v>
      </c>
      <c r="L400" s="33"/>
      <c r="M400" s="8"/>
      <c r="N400" s="14" t="s">
        <v>15</v>
      </c>
      <c r="O400" s="15" t="s">
        <v>123</v>
      </c>
      <c r="P400" s="1">
        <v>-39093.1</v>
      </c>
    </row>
    <row r="401" spans="1:16" ht="15.75" hidden="1">
      <c r="A401" s="28">
        <f t="shared" si="29"/>
        <v>79</v>
      </c>
      <c r="B401" s="14" t="s">
        <v>79</v>
      </c>
      <c r="C401" s="15" t="s">
        <v>139</v>
      </c>
      <c r="D401" s="39">
        <v>-1620.91</v>
      </c>
      <c r="E401" s="33">
        <f t="shared" si="31"/>
        <v>-359647.34</v>
      </c>
      <c r="F401" s="8"/>
      <c r="G401" s="38">
        <f t="shared" si="30"/>
        <v>79</v>
      </c>
      <c r="H401" s="14" t="s">
        <v>79</v>
      </c>
      <c r="I401" s="15" t="s">
        <v>139</v>
      </c>
      <c r="J401" s="39">
        <v>-1939.66</v>
      </c>
      <c r="K401" s="33">
        <f t="shared" si="32"/>
        <v>-357888.51</v>
      </c>
      <c r="L401" s="33">
        <f t="shared" si="33"/>
        <v>-318.75</v>
      </c>
      <c r="M401" s="8"/>
      <c r="N401" s="14" t="s">
        <v>16</v>
      </c>
      <c r="O401" s="15" t="s">
        <v>123</v>
      </c>
      <c r="P401" s="1">
        <v>-5503.11</v>
      </c>
    </row>
    <row r="402" spans="1:16" ht="15.75" hidden="1">
      <c r="A402" s="28">
        <f t="shared" si="29"/>
        <v>80</v>
      </c>
      <c r="B402" s="14" t="s">
        <v>80</v>
      </c>
      <c r="C402" s="15" t="s">
        <v>139</v>
      </c>
      <c r="D402" s="39"/>
      <c r="E402" s="33">
        <f t="shared" si="31"/>
        <v>-359647.34</v>
      </c>
      <c r="F402" s="8"/>
      <c r="G402" s="38">
        <f t="shared" si="30"/>
        <v>80</v>
      </c>
      <c r="H402" s="14" t="s">
        <v>80</v>
      </c>
      <c r="I402" s="15" t="s">
        <v>139</v>
      </c>
      <c r="J402" s="39"/>
      <c r="K402" s="33">
        <f t="shared" si="32"/>
        <v>-357888.51</v>
      </c>
      <c r="L402" s="33"/>
      <c r="M402" s="8"/>
      <c r="N402" s="14" t="s">
        <v>17</v>
      </c>
      <c r="O402" s="15" t="s">
        <v>123</v>
      </c>
      <c r="P402" s="1"/>
    </row>
    <row r="403" spans="1:16" ht="15.75" hidden="1">
      <c r="A403" s="28">
        <f t="shared" si="29"/>
        <v>81</v>
      </c>
      <c r="B403" s="14" t="s">
        <v>81</v>
      </c>
      <c r="C403" s="15" t="s">
        <v>139</v>
      </c>
      <c r="D403" s="39">
        <v>-782</v>
      </c>
      <c r="E403" s="33">
        <f t="shared" si="31"/>
        <v>-360429.34</v>
      </c>
      <c r="F403" s="8"/>
      <c r="G403" s="38">
        <f t="shared" si="30"/>
        <v>81</v>
      </c>
      <c r="H403" s="14" t="s">
        <v>81</v>
      </c>
      <c r="I403" s="15" t="s">
        <v>139</v>
      </c>
      <c r="J403" s="39">
        <v>-691.4</v>
      </c>
      <c r="K403" s="33">
        <f t="shared" si="32"/>
        <v>-358579.91</v>
      </c>
      <c r="L403" s="33">
        <f t="shared" si="33"/>
        <v>90.6</v>
      </c>
      <c r="M403" s="8"/>
      <c r="N403" s="45" t="s">
        <v>124</v>
      </c>
      <c r="O403" s="46" t="s">
        <v>123</v>
      </c>
      <c r="P403" s="1">
        <v>-30362.3</v>
      </c>
    </row>
    <row r="404" spans="1:16" ht="15.75" hidden="1">
      <c r="A404" s="28">
        <f t="shared" si="29"/>
        <v>82</v>
      </c>
      <c r="B404" s="14" t="s">
        <v>82</v>
      </c>
      <c r="C404" s="15" t="s">
        <v>139</v>
      </c>
      <c r="D404" s="39"/>
      <c r="E404" s="33">
        <f t="shared" si="31"/>
        <v>-360429.34</v>
      </c>
      <c r="F404" s="8"/>
      <c r="G404" s="38">
        <f t="shared" si="30"/>
        <v>82</v>
      </c>
      <c r="H404" s="14" t="s">
        <v>82</v>
      </c>
      <c r="I404" s="15" t="s">
        <v>139</v>
      </c>
      <c r="J404" s="39"/>
      <c r="K404" s="33">
        <f t="shared" si="32"/>
        <v>-358579.91</v>
      </c>
      <c r="L404" s="33"/>
      <c r="M404" s="8"/>
      <c r="N404" s="14" t="s">
        <v>19</v>
      </c>
      <c r="O404" s="15" t="s">
        <v>123</v>
      </c>
      <c r="P404" s="1">
        <v>-28518.19</v>
      </c>
    </row>
    <row r="405" spans="1:16" ht="15.75" hidden="1">
      <c r="A405" s="28">
        <f t="shared" si="29"/>
        <v>83</v>
      </c>
      <c r="B405" s="14" t="s">
        <v>83</v>
      </c>
      <c r="C405" s="15" t="s">
        <v>139</v>
      </c>
      <c r="D405" s="39">
        <v>-2161.63</v>
      </c>
      <c r="E405" s="33">
        <f t="shared" si="31"/>
        <v>-362590.97</v>
      </c>
      <c r="F405" s="8"/>
      <c r="G405" s="38">
        <f t="shared" si="30"/>
        <v>83</v>
      </c>
      <c r="H405" s="14" t="s">
        <v>83</v>
      </c>
      <c r="I405" s="15" t="s">
        <v>139</v>
      </c>
      <c r="J405" s="39">
        <v>-2224.13</v>
      </c>
      <c r="K405" s="33">
        <f t="shared" si="32"/>
        <v>-360804.04</v>
      </c>
      <c r="L405" s="33">
        <f t="shared" si="33"/>
        <v>-62.5</v>
      </c>
      <c r="M405" s="8"/>
      <c r="N405" s="14" t="s">
        <v>20</v>
      </c>
      <c r="O405" s="15" t="s">
        <v>123</v>
      </c>
      <c r="P405" s="1">
        <v>-6671.96</v>
      </c>
    </row>
    <row r="406" spans="1:16" ht="15.75" hidden="1">
      <c r="A406" s="28">
        <f t="shared" si="29"/>
        <v>84</v>
      </c>
      <c r="B406" s="14" t="s">
        <v>84</v>
      </c>
      <c r="C406" s="15" t="s">
        <v>139</v>
      </c>
      <c r="D406" s="39"/>
      <c r="E406" s="33">
        <f t="shared" si="31"/>
        <v>-362590.97</v>
      </c>
      <c r="F406" s="8"/>
      <c r="G406" s="38">
        <f t="shared" si="30"/>
        <v>84</v>
      </c>
      <c r="H406" s="14" t="s">
        <v>84</v>
      </c>
      <c r="I406" s="15" t="s">
        <v>139</v>
      </c>
      <c r="J406" s="39"/>
      <c r="K406" s="33">
        <f t="shared" si="32"/>
        <v>-360804.04</v>
      </c>
      <c r="L406" s="33"/>
      <c r="M406" s="8"/>
      <c r="N406" s="43" t="s">
        <v>21</v>
      </c>
      <c r="O406" s="23" t="s">
        <v>123</v>
      </c>
      <c r="P406" s="1">
        <v>-7909.2</v>
      </c>
    </row>
    <row r="407" spans="1:16" ht="15.75" hidden="1">
      <c r="A407" s="28">
        <f t="shared" si="29"/>
        <v>85</v>
      </c>
      <c r="B407" s="14" t="s">
        <v>85</v>
      </c>
      <c r="C407" s="15" t="s">
        <v>139</v>
      </c>
      <c r="D407" s="39">
        <v>-3156.5</v>
      </c>
      <c r="E407" s="33">
        <f t="shared" si="31"/>
        <v>-365747.47</v>
      </c>
      <c r="F407" s="8"/>
      <c r="G407" s="38">
        <f t="shared" si="30"/>
        <v>85</v>
      </c>
      <c r="H407" s="14" t="s">
        <v>85</v>
      </c>
      <c r="I407" s="15" t="s">
        <v>139</v>
      </c>
      <c r="J407" s="39">
        <v>-2970.3</v>
      </c>
      <c r="K407" s="33">
        <f t="shared" si="32"/>
        <v>-363774.34</v>
      </c>
      <c r="L407" s="33">
        <f t="shared" si="33"/>
        <v>186.2</v>
      </c>
      <c r="M407" s="8"/>
      <c r="N407" s="25" t="s">
        <v>22</v>
      </c>
      <c r="O407" s="26" t="s">
        <v>126</v>
      </c>
      <c r="P407" s="1">
        <v>2843.57</v>
      </c>
    </row>
    <row r="408" spans="1:16" ht="15.75" hidden="1">
      <c r="A408" s="28">
        <f t="shared" si="29"/>
        <v>86</v>
      </c>
      <c r="B408" s="14" t="s">
        <v>86</v>
      </c>
      <c r="C408" s="15" t="s">
        <v>139</v>
      </c>
      <c r="D408" s="39"/>
      <c r="E408" s="33">
        <f t="shared" si="31"/>
        <v>-365747.47</v>
      </c>
      <c r="F408" s="8"/>
      <c r="G408" s="38">
        <f t="shared" si="30"/>
        <v>86</v>
      </c>
      <c r="H408" s="14" t="s">
        <v>86</v>
      </c>
      <c r="I408" s="15" t="s">
        <v>139</v>
      </c>
      <c r="J408" s="39"/>
      <c r="K408" s="33">
        <f t="shared" si="32"/>
        <v>-363774.34</v>
      </c>
      <c r="L408" s="33"/>
      <c r="M408" s="8"/>
      <c r="N408" s="14" t="s">
        <v>23</v>
      </c>
      <c r="O408" s="15" t="s">
        <v>126</v>
      </c>
      <c r="P408" s="1">
        <v>-4013.15</v>
      </c>
    </row>
    <row r="409" spans="1:16" ht="15.75" hidden="1">
      <c r="A409" s="28">
        <f t="shared" si="29"/>
        <v>87</v>
      </c>
      <c r="B409" s="43" t="s">
        <v>87</v>
      </c>
      <c r="C409" s="23" t="s">
        <v>139</v>
      </c>
      <c r="D409" s="39">
        <v>-2281.84</v>
      </c>
      <c r="E409" s="44">
        <f t="shared" si="31"/>
        <v>-368029.31</v>
      </c>
      <c r="F409" s="8"/>
      <c r="G409" s="38">
        <f t="shared" si="30"/>
        <v>87</v>
      </c>
      <c r="H409" s="43" t="s">
        <v>87</v>
      </c>
      <c r="I409" s="23" t="s">
        <v>139</v>
      </c>
      <c r="J409" s="39">
        <v>-2276.14</v>
      </c>
      <c r="K409" s="33">
        <f t="shared" si="32"/>
        <v>-366050.48</v>
      </c>
      <c r="L409" s="33">
        <f t="shared" si="33"/>
        <v>5.7000000000002702</v>
      </c>
      <c r="M409" s="8"/>
      <c r="N409" s="14" t="s">
        <v>24</v>
      </c>
      <c r="O409" s="15" t="s">
        <v>126</v>
      </c>
      <c r="P409" s="1">
        <v>-975.33</v>
      </c>
    </row>
    <row r="410" spans="1:16" ht="15.75" hidden="1">
      <c r="A410" s="28">
        <f t="shared" si="29"/>
        <v>88</v>
      </c>
      <c r="B410" s="25" t="s">
        <v>88</v>
      </c>
      <c r="C410" s="26" t="s">
        <v>141</v>
      </c>
      <c r="D410" s="39">
        <v>-8570.7000000000007</v>
      </c>
      <c r="E410" s="30">
        <f t="shared" si="31"/>
        <v>-376600.01</v>
      </c>
      <c r="F410" s="8"/>
      <c r="G410" s="38">
        <f t="shared" si="30"/>
        <v>88</v>
      </c>
      <c r="H410" s="25" t="s">
        <v>88</v>
      </c>
      <c r="I410" s="26" t="s">
        <v>141</v>
      </c>
      <c r="J410" s="39">
        <v>-7879.7</v>
      </c>
      <c r="K410" s="33">
        <f t="shared" si="32"/>
        <v>-373930.18</v>
      </c>
      <c r="L410" s="33">
        <f t="shared" si="33"/>
        <v>691.00000000000102</v>
      </c>
      <c r="M410" s="8"/>
      <c r="N410" s="14" t="s">
        <v>128</v>
      </c>
      <c r="O410" s="15" t="s">
        <v>126</v>
      </c>
      <c r="P410" s="1"/>
    </row>
    <row r="411" spans="1:16" ht="15.75" hidden="1">
      <c r="A411" s="28">
        <f t="shared" si="29"/>
        <v>89</v>
      </c>
      <c r="B411" s="14" t="s">
        <v>89</v>
      </c>
      <c r="C411" s="15" t="s">
        <v>141</v>
      </c>
      <c r="D411" s="39"/>
      <c r="E411" s="33">
        <f t="shared" si="31"/>
        <v>-376600.01</v>
      </c>
      <c r="F411" s="8"/>
      <c r="G411" s="38">
        <f t="shared" si="30"/>
        <v>89</v>
      </c>
      <c r="H411" s="14" t="s">
        <v>89</v>
      </c>
      <c r="I411" s="15" t="s">
        <v>141</v>
      </c>
      <c r="J411" s="39">
        <v>-472.5</v>
      </c>
      <c r="K411" s="33">
        <f t="shared" si="32"/>
        <v>-374402.68</v>
      </c>
      <c r="L411" s="33">
        <f t="shared" si="33"/>
        <v>-472.5</v>
      </c>
      <c r="M411" s="8"/>
      <c r="N411" s="47" t="s">
        <v>127</v>
      </c>
      <c r="O411" s="15" t="s">
        <v>126</v>
      </c>
      <c r="P411" s="1">
        <v>541.84</v>
      </c>
    </row>
    <row r="412" spans="1:16" ht="15.75" hidden="1">
      <c r="A412" s="28">
        <f t="shared" si="29"/>
        <v>90</v>
      </c>
      <c r="B412" s="14" t="s">
        <v>90</v>
      </c>
      <c r="C412" s="15" t="s">
        <v>141</v>
      </c>
      <c r="D412" s="39"/>
      <c r="E412" s="33">
        <f t="shared" si="31"/>
        <v>-376600.01</v>
      </c>
      <c r="F412" s="8"/>
      <c r="G412" s="38">
        <f t="shared" si="30"/>
        <v>90</v>
      </c>
      <c r="H412" s="14" t="s">
        <v>90</v>
      </c>
      <c r="I412" s="15" t="s">
        <v>141</v>
      </c>
      <c r="J412" s="39"/>
      <c r="K412" s="33">
        <f t="shared" si="32"/>
        <v>-374402.68</v>
      </c>
      <c r="L412" s="33"/>
      <c r="M412" s="8"/>
      <c r="N412" s="14" t="s">
        <v>27</v>
      </c>
      <c r="O412" s="15" t="s">
        <v>126</v>
      </c>
      <c r="P412" s="1">
        <v>-1265.3499999999999</v>
      </c>
    </row>
    <row r="413" spans="1:16" ht="15.75" hidden="1">
      <c r="A413" s="28">
        <f t="shared" si="29"/>
        <v>91</v>
      </c>
      <c r="B413" s="14" t="s">
        <v>91</v>
      </c>
      <c r="C413" s="15" t="s">
        <v>141</v>
      </c>
      <c r="D413" s="39"/>
      <c r="E413" s="33">
        <f t="shared" si="31"/>
        <v>-376600.01</v>
      </c>
      <c r="F413" s="8"/>
      <c r="G413" s="38">
        <f t="shared" si="30"/>
        <v>91</v>
      </c>
      <c r="H413" s="14" t="s">
        <v>91</v>
      </c>
      <c r="I413" s="15" t="s">
        <v>141</v>
      </c>
      <c r="J413" s="39"/>
      <c r="K413" s="33">
        <f t="shared" si="32"/>
        <v>-374402.68</v>
      </c>
      <c r="L413" s="33"/>
      <c r="M413" s="8"/>
      <c r="N413" s="14" t="s">
        <v>28</v>
      </c>
      <c r="O413" s="15" t="s">
        <v>126</v>
      </c>
      <c r="P413" s="1">
        <v>-598.54</v>
      </c>
    </row>
    <row r="414" spans="1:16" ht="15.75" hidden="1">
      <c r="A414" s="28">
        <f t="shared" si="29"/>
        <v>92</v>
      </c>
      <c r="B414" s="14" t="s">
        <v>92</v>
      </c>
      <c r="C414" s="15" t="s">
        <v>141</v>
      </c>
      <c r="D414" s="39">
        <v>-2228.75</v>
      </c>
      <c r="E414" s="33">
        <f t="shared" si="31"/>
        <v>-378828.76</v>
      </c>
      <c r="F414" s="8"/>
      <c r="G414" s="38">
        <f t="shared" si="30"/>
        <v>92</v>
      </c>
      <c r="H414" s="14" t="s">
        <v>92</v>
      </c>
      <c r="I414" s="15" t="s">
        <v>141</v>
      </c>
      <c r="J414" s="39">
        <v>-2557.9499999999998</v>
      </c>
      <c r="K414" s="33">
        <f t="shared" si="32"/>
        <v>-376960.63</v>
      </c>
      <c r="L414" s="33">
        <f t="shared" si="33"/>
        <v>-329.2</v>
      </c>
      <c r="M414" s="8"/>
      <c r="N414" s="25" t="s">
        <v>29</v>
      </c>
      <c r="O414" s="26" t="s">
        <v>129</v>
      </c>
      <c r="P414" s="1"/>
    </row>
    <row r="415" spans="1:16" ht="15.75" hidden="1">
      <c r="A415" s="28">
        <f t="shared" si="29"/>
        <v>93</v>
      </c>
      <c r="B415" s="14" t="s">
        <v>93</v>
      </c>
      <c r="C415" s="15" t="s">
        <v>141</v>
      </c>
      <c r="D415" s="39">
        <v>-5543.1</v>
      </c>
      <c r="E415" s="33">
        <f t="shared" si="31"/>
        <v>-384371.86</v>
      </c>
      <c r="F415" s="8"/>
      <c r="G415" s="38">
        <f t="shared" si="30"/>
        <v>93</v>
      </c>
      <c r="H415" s="14" t="s">
        <v>93</v>
      </c>
      <c r="I415" s="15" t="s">
        <v>141</v>
      </c>
      <c r="J415" s="39">
        <v>-5776</v>
      </c>
      <c r="K415" s="33">
        <f t="shared" si="32"/>
        <v>-382736.63</v>
      </c>
      <c r="L415" s="33">
        <f t="shared" si="33"/>
        <v>-232.9</v>
      </c>
      <c r="M415" s="8"/>
      <c r="N415" s="14" t="s">
        <v>30</v>
      </c>
      <c r="O415" s="15" t="s">
        <v>129</v>
      </c>
      <c r="P415" s="1"/>
    </row>
    <row r="416" spans="1:16" ht="15.75" hidden="1">
      <c r="A416" s="28">
        <f>A415+1</f>
        <v>94</v>
      </c>
      <c r="B416" s="51" t="s">
        <v>94</v>
      </c>
      <c r="C416" s="52" t="s">
        <v>141</v>
      </c>
      <c r="D416" s="39">
        <v>-8111.93</v>
      </c>
      <c r="E416" s="44">
        <f t="shared" si="31"/>
        <v>-392483.79</v>
      </c>
      <c r="F416" s="8"/>
      <c r="G416" s="38">
        <f>G415+1</f>
        <v>94</v>
      </c>
      <c r="H416" s="51" t="s">
        <v>94</v>
      </c>
      <c r="I416" s="52" t="s">
        <v>141</v>
      </c>
      <c r="J416" s="39">
        <v>-8184.93</v>
      </c>
      <c r="K416" s="33">
        <f t="shared" si="32"/>
        <v>-390921.56</v>
      </c>
      <c r="L416" s="33">
        <f t="shared" si="33"/>
        <v>-73</v>
      </c>
      <c r="M416" s="8"/>
      <c r="N416" s="14" t="s">
        <v>31</v>
      </c>
      <c r="O416" s="15" t="s">
        <v>129</v>
      </c>
      <c r="P416" s="1">
        <v>-1560.2</v>
      </c>
    </row>
    <row r="417" spans="1:16" ht="15.75" hidden="1">
      <c r="A417" s="28">
        <f>A416+1</f>
        <v>95</v>
      </c>
      <c r="B417" s="50" t="s">
        <v>95</v>
      </c>
      <c r="C417" s="49" t="s">
        <v>106</v>
      </c>
      <c r="D417" s="39"/>
      <c r="E417" s="33">
        <f t="shared" si="31"/>
        <v>-392483.79</v>
      </c>
      <c r="F417" s="8"/>
      <c r="G417" s="38">
        <f>G416+1</f>
        <v>95</v>
      </c>
      <c r="H417" s="50" t="s">
        <v>95</v>
      </c>
      <c r="I417" s="49" t="s">
        <v>106</v>
      </c>
      <c r="J417" s="39"/>
      <c r="K417" s="33">
        <f t="shared" si="32"/>
        <v>-390921.56</v>
      </c>
      <c r="L417" s="33"/>
      <c r="M417" s="8"/>
      <c r="N417" s="14" t="s">
        <v>32</v>
      </c>
      <c r="O417" s="15" t="s">
        <v>129</v>
      </c>
      <c r="P417" s="1"/>
    </row>
    <row r="418" spans="1:16" ht="15.75" hidden="1">
      <c r="A418" s="28">
        <f>A417+1</f>
        <v>96</v>
      </c>
      <c r="B418" s="14" t="s">
        <v>96</v>
      </c>
      <c r="C418" s="15" t="s">
        <v>106</v>
      </c>
      <c r="D418" s="39"/>
      <c r="E418" s="33">
        <f t="shared" si="31"/>
        <v>-392483.79</v>
      </c>
      <c r="F418" s="8"/>
      <c r="G418" s="38">
        <f>G417+1</f>
        <v>96</v>
      </c>
      <c r="H418" s="14" t="s">
        <v>96</v>
      </c>
      <c r="I418" s="15" t="s">
        <v>106</v>
      </c>
      <c r="J418" s="39"/>
      <c r="K418" s="33">
        <f t="shared" si="32"/>
        <v>-390921.56</v>
      </c>
      <c r="L418" s="33"/>
      <c r="M418" s="8"/>
      <c r="N418" s="14" t="s">
        <v>33</v>
      </c>
      <c r="O418" s="15" t="s">
        <v>129</v>
      </c>
      <c r="P418" s="1">
        <v>310.35000000000002</v>
      </c>
    </row>
    <row r="419" spans="1:16" ht="15.75" hidden="1">
      <c r="A419" s="28">
        <f>A418+1</f>
        <v>97</v>
      </c>
      <c r="B419" s="22" t="s">
        <v>116</v>
      </c>
      <c r="C419" s="23" t="s">
        <v>106</v>
      </c>
      <c r="D419" s="39"/>
      <c r="E419" s="44">
        <f t="shared" si="31"/>
        <v>-392483.79</v>
      </c>
      <c r="F419" s="8"/>
      <c r="G419" s="53">
        <f>G418+1</f>
        <v>97</v>
      </c>
      <c r="H419" s="22" t="s">
        <v>116</v>
      </c>
      <c r="I419" s="23" t="s">
        <v>106</v>
      </c>
      <c r="J419" s="39"/>
      <c r="K419" s="33">
        <f t="shared" si="32"/>
        <v>-390921.56</v>
      </c>
      <c r="L419" s="33"/>
      <c r="M419" s="8"/>
      <c r="N419" s="14" t="s">
        <v>34</v>
      </c>
      <c r="O419" s="15" t="s">
        <v>129</v>
      </c>
      <c r="P419" s="1">
        <v>-9146.1299999999992</v>
      </c>
    </row>
    <row r="420" spans="1:16" ht="15.75" hidden="1">
      <c r="A420" s="28">
        <f>A419+1</f>
        <v>98</v>
      </c>
      <c r="B420" s="8" t="s">
        <v>120</v>
      </c>
      <c r="C420" s="23" t="s">
        <v>106</v>
      </c>
      <c r="D420" s="55">
        <v>-2836.5</v>
      </c>
      <c r="E420" s="44">
        <f t="shared" si="31"/>
        <v>-395320.29</v>
      </c>
      <c r="F420" s="8"/>
      <c r="G420" s="53">
        <f>G419+1</f>
        <v>98</v>
      </c>
      <c r="H420" s="8" t="s">
        <v>120</v>
      </c>
      <c r="I420" s="23" t="s">
        <v>106</v>
      </c>
      <c r="J420" s="55">
        <v>-2557.5</v>
      </c>
      <c r="K420" s="33">
        <f t="shared" si="32"/>
        <v>-393479.06</v>
      </c>
      <c r="L420" s="33">
        <f t="shared" si="33"/>
        <v>279</v>
      </c>
      <c r="M420" s="8"/>
      <c r="N420" s="14" t="s">
        <v>131</v>
      </c>
      <c r="O420" s="15" t="s">
        <v>129</v>
      </c>
      <c r="P420" s="1"/>
    </row>
    <row r="421" spans="1:16" ht="15.75" hidden="1">
      <c r="A421" s="56"/>
      <c r="B421" s="57" t="s">
        <v>102</v>
      </c>
      <c r="C421" s="58"/>
      <c r="D421" s="59">
        <f>SUM(D323:D420)</f>
        <v>-395320.29</v>
      </c>
      <c r="E421" s="59">
        <f>E420</f>
        <v>-395320.29</v>
      </c>
      <c r="F421" s="60"/>
      <c r="G421" s="60"/>
      <c r="H421" s="57" t="s">
        <v>102</v>
      </c>
      <c r="I421" s="60"/>
      <c r="J421" s="59">
        <f>SUM(J323:J420)</f>
        <v>-393479.06</v>
      </c>
      <c r="K421" s="59">
        <f>K420</f>
        <v>-393479.06</v>
      </c>
      <c r="L421" s="59">
        <f t="shared" si="33"/>
        <v>1841.22999999992</v>
      </c>
      <c r="M421" s="8"/>
      <c r="N421" s="14" t="s">
        <v>36</v>
      </c>
      <c r="O421" s="15" t="s">
        <v>129</v>
      </c>
      <c r="P421" s="1">
        <v>-4208.93</v>
      </c>
    </row>
    <row r="422" spans="1:16" ht="15.75" hidden="1">
      <c r="A422" s="61"/>
      <c r="B422" s="61"/>
      <c r="C422" s="61"/>
      <c r="D422" s="8"/>
      <c r="E422" s="8"/>
      <c r="F422" s="8"/>
      <c r="G422" s="8"/>
      <c r="H422" s="8"/>
      <c r="I422" s="8"/>
      <c r="J422" s="8"/>
      <c r="K422" s="8"/>
      <c r="L422" s="8"/>
      <c r="M422" s="62">
        <f>J421-D421</f>
        <v>1841.22999999992</v>
      </c>
      <c r="N422" s="14" t="s">
        <v>37</v>
      </c>
      <c r="O422" s="15" t="s">
        <v>129</v>
      </c>
      <c r="P422" s="1">
        <v>-12893.43</v>
      </c>
    </row>
    <row r="423" spans="1:16" ht="15.75" hidden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62">
        <f>SUM(J323:J420)</f>
        <v>-393479.06</v>
      </c>
      <c r="N423" s="43" t="s">
        <v>38</v>
      </c>
      <c r="O423" s="23" t="s">
        <v>130</v>
      </c>
      <c r="P423" s="1">
        <v>-374.9</v>
      </c>
    </row>
    <row r="424" spans="1:16" ht="15.75" hidden="1">
      <c r="A424" s="127" t="s">
        <v>147</v>
      </c>
      <c r="B424" s="128"/>
      <c r="C424" s="128"/>
      <c r="D424" s="128"/>
      <c r="E424" s="129"/>
      <c r="F424" s="12"/>
      <c r="G424" s="127" t="s">
        <v>151</v>
      </c>
      <c r="H424" s="128"/>
      <c r="I424" s="128"/>
      <c r="J424" s="128"/>
      <c r="K424" s="129"/>
      <c r="L424" s="130" t="s">
        <v>150</v>
      </c>
      <c r="M424" s="62">
        <f>SUM(D323:D420)</f>
        <v>-395320.29</v>
      </c>
      <c r="N424" s="25" t="s">
        <v>39</v>
      </c>
      <c r="O424" s="26" t="s">
        <v>132</v>
      </c>
      <c r="P424" s="1">
        <v>3279.45</v>
      </c>
    </row>
    <row r="425" spans="1:16" ht="31.5" hidden="1">
      <c r="A425" s="18" t="s">
        <v>112</v>
      </c>
      <c r="B425" s="19" t="s">
        <v>0</v>
      </c>
      <c r="C425" s="12" t="s">
        <v>113</v>
      </c>
      <c r="D425" s="20" t="s">
        <v>114</v>
      </c>
      <c r="E425" s="20" t="s">
        <v>115</v>
      </c>
      <c r="F425" s="63"/>
      <c r="G425" s="13" t="s">
        <v>112</v>
      </c>
      <c r="H425" s="12" t="s">
        <v>0</v>
      </c>
      <c r="I425" s="12" t="s">
        <v>113</v>
      </c>
      <c r="J425" s="12"/>
      <c r="K425" s="12" t="s">
        <v>115</v>
      </c>
      <c r="L425" s="131"/>
      <c r="M425" s="62">
        <f>M423-M424</f>
        <v>1841.22999999992</v>
      </c>
      <c r="N425" s="14" t="s">
        <v>40</v>
      </c>
      <c r="O425" s="15" t="s">
        <v>132</v>
      </c>
      <c r="P425" s="1">
        <v>445.94</v>
      </c>
    </row>
    <row r="426" spans="1:16" ht="15.75" hidden="1">
      <c r="A426" s="64">
        <v>1</v>
      </c>
      <c r="B426" s="14" t="s">
        <v>8</v>
      </c>
      <c r="C426" s="15" t="s">
        <v>119</v>
      </c>
      <c r="D426" s="32">
        <v>800.32</v>
      </c>
      <c r="E426" s="66">
        <f>D426</f>
        <v>800.32</v>
      </c>
      <c r="F426" s="67"/>
      <c r="G426" s="68">
        <v>1</v>
      </c>
      <c r="H426" s="14" t="s">
        <v>8</v>
      </c>
      <c r="I426" s="15" t="s">
        <v>119</v>
      </c>
      <c r="J426" s="32">
        <v>1250</v>
      </c>
      <c r="K426" s="69">
        <f>J426</f>
        <v>1250</v>
      </c>
      <c r="L426" s="70">
        <f t="shared" ref="L426:L477" si="34">J426-D426</f>
        <v>449.68</v>
      </c>
      <c r="M426" s="62"/>
      <c r="N426" s="14" t="s">
        <v>41</v>
      </c>
      <c r="O426" s="15" t="s">
        <v>132</v>
      </c>
      <c r="P426" s="1">
        <v>-15952.94</v>
      </c>
    </row>
    <row r="427" spans="1:16" ht="15.75" hidden="1">
      <c r="A427" s="71">
        <f>1+A426</f>
        <v>2</v>
      </c>
      <c r="B427" s="25" t="s">
        <v>3</v>
      </c>
      <c r="C427" s="15" t="s">
        <v>119</v>
      </c>
      <c r="D427" s="72"/>
      <c r="E427" s="73">
        <f>D427+E426</f>
        <v>800.32</v>
      </c>
      <c r="F427" s="74"/>
      <c r="G427" s="75">
        <f>1+G426</f>
        <v>2</v>
      </c>
      <c r="H427" s="25" t="s">
        <v>3</v>
      </c>
      <c r="I427" s="15" t="s">
        <v>119</v>
      </c>
      <c r="J427" s="72"/>
      <c r="K427" s="69">
        <f>K426+J427</f>
        <v>1250</v>
      </c>
      <c r="L427" s="70">
        <f t="shared" si="34"/>
        <v>0</v>
      </c>
      <c r="M427" s="62"/>
      <c r="N427" s="14" t="s">
        <v>42</v>
      </c>
      <c r="O427" s="15" t="s">
        <v>132</v>
      </c>
      <c r="P427" s="1">
        <v>-2219.16</v>
      </c>
    </row>
    <row r="428" spans="1:16" ht="15.75" hidden="1">
      <c r="A428" s="71">
        <f t="shared" ref="A428:A477" si="35">1+A427</f>
        <v>3</v>
      </c>
      <c r="B428" s="25" t="s">
        <v>10</v>
      </c>
      <c r="C428" s="15" t="s">
        <v>119</v>
      </c>
      <c r="D428" s="76"/>
      <c r="E428" s="73">
        <f t="shared" ref="E428:E477" si="36">D428+E427</f>
        <v>800.32</v>
      </c>
      <c r="F428" s="77"/>
      <c r="G428" s="75">
        <f t="shared" ref="G428:G477" si="37">1+G427</f>
        <v>3</v>
      </c>
      <c r="H428" s="25" t="s">
        <v>10</v>
      </c>
      <c r="I428" s="15" t="s">
        <v>119</v>
      </c>
      <c r="J428" s="76"/>
      <c r="K428" s="69">
        <f t="shared" ref="K428:K477" si="38">K427+J428</f>
        <v>1250</v>
      </c>
      <c r="L428" s="70">
        <f t="shared" si="34"/>
        <v>0</v>
      </c>
      <c r="M428" s="62"/>
      <c r="N428" s="14" t="s">
        <v>43</v>
      </c>
      <c r="O428" s="15" t="s">
        <v>132</v>
      </c>
      <c r="P428" s="1">
        <v>-20.3</v>
      </c>
    </row>
    <row r="429" spans="1:16" ht="15.75" hidden="1">
      <c r="A429" s="71">
        <f t="shared" si="35"/>
        <v>4</v>
      </c>
      <c r="B429" s="78" t="s">
        <v>11</v>
      </c>
      <c r="C429" s="79" t="s">
        <v>119</v>
      </c>
      <c r="D429" s="39">
        <v>395.38</v>
      </c>
      <c r="E429" s="73">
        <f t="shared" si="36"/>
        <v>1195.7</v>
      </c>
      <c r="F429" s="77"/>
      <c r="G429" s="75">
        <f t="shared" si="37"/>
        <v>4</v>
      </c>
      <c r="H429" s="43" t="s">
        <v>11</v>
      </c>
      <c r="I429" s="23" t="s">
        <v>119</v>
      </c>
      <c r="J429" s="39">
        <v>558.88</v>
      </c>
      <c r="K429" s="69">
        <f t="shared" si="38"/>
        <v>1808.88</v>
      </c>
      <c r="L429" s="70">
        <f t="shared" si="34"/>
        <v>163.5</v>
      </c>
      <c r="M429" s="62"/>
      <c r="N429" s="14" t="s">
        <v>44</v>
      </c>
      <c r="O429" s="15" t="s">
        <v>132</v>
      </c>
      <c r="P429" s="1">
        <v>-3055.18</v>
      </c>
    </row>
    <row r="430" spans="1:16" ht="15.75" hidden="1">
      <c r="A430" s="71">
        <f t="shared" si="35"/>
        <v>5</v>
      </c>
      <c r="B430" s="14" t="s">
        <v>22</v>
      </c>
      <c r="C430" s="15" t="s">
        <v>126</v>
      </c>
      <c r="D430" s="39">
        <v>2761.27</v>
      </c>
      <c r="E430" s="73">
        <f t="shared" si="36"/>
        <v>3956.97</v>
      </c>
      <c r="F430" s="77"/>
      <c r="G430" s="75">
        <f t="shared" si="37"/>
        <v>5</v>
      </c>
      <c r="H430" s="14" t="s">
        <v>22</v>
      </c>
      <c r="I430" s="15" t="s">
        <v>126</v>
      </c>
      <c r="J430" s="39">
        <v>2843.57</v>
      </c>
      <c r="K430" s="69">
        <f t="shared" si="38"/>
        <v>4652.45</v>
      </c>
      <c r="L430" s="70">
        <f t="shared" si="34"/>
        <v>82.300000000000196</v>
      </c>
      <c r="M430" s="62"/>
      <c r="N430" s="48" t="s">
        <v>45</v>
      </c>
      <c r="O430" s="49" t="s">
        <v>132</v>
      </c>
      <c r="P430" s="1">
        <v>103.27</v>
      </c>
    </row>
    <row r="431" spans="1:16" ht="15.75" hidden="1">
      <c r="A431" s="71">
        <f t="shared" si="35"/>
        <v>6</v>
      </c>
      <c r="B431" s="14" t="s">
        <v>23</v>
      </c>
      <c r="C431" s="15" t="s">
        <v>126</v>
      </c>
      <c r="D431" s="76"/>
      <c r="E431" s="73">
        <f t="shared" si="36"/>
        <v>3956.97</v>
      </c>
      <c r="F431" s="77"/>
      <c r="G431" s="75">
        <f t="shared" si="37"/>
        <v>6</v>
      </c>
      <c r="H431" s="14" t="s">
        <v>23</v>
      </c>
      <c r="I431" s="15" t="s">
        <v>126</v>
      </c>
      <c r="J431" s="76"/>
      <c r="K431" s="69">
        <f t="shared" si="38"/>
        <v>4652.45</v>
      </c>
      <c r="L431" s="70">
        <f t="shared" si="34"/>
        <v>0</v>
      </c>
      <c r="M431" s="62"/>
      <c r="N431" s="50" t="s">
        <v>46</v>
      </c>
      <c r="O431" s="49" t="s">
        <v>132</v>
      </c>
      <c r="P431" s="1">
        <v>-19721.2</v>
      </c>
    </row>
    <row r="432" spans="1:16" ht="15.75" hidden="1">
      <c r="A432" s="71">
        <f t="shared" si="35"/>
        <v>7</v>
      </c>
      <c r="B432" s="14" t="s">
        <v>24</v>
      </c>
      <c r="C432" s="15" t="s">
        <v>126</v>
      </c>
      <c r="D432" s="76"/>
      <c r="E432" s="73">
        <f t="shared" si="36"/>
        <v>3956.97</v>
      </c>
      <c r="F432" s="77"/>
      <c r="G432" s="75">
        <f t="shared" si="37"/>
        <v>7</v>
      </c>
      <c r="H432" s="14" t="s">
        <v>24</v>
      </c>
      <c r="I432" s="15" t="s">
        <v>126</v>
      </c>
      <c r="J432" s="76"/>
      <c r="K432" s="69">
        <f t="shared" si="38"/>
        <v>4652.45</v>
      </c>
      <c r="L432" s="70">
        <f t="shared" si="34"/>
        <v>0</v>
      </c>
      <c r="M432" s="62"/>
      <c r="N432" s="14" t="s">
        <v>47</v>
      </c>
      <c r="O432" s="15" t="s">
        <v>132</v>
      </c>
      <c r="P432" s="1">
        <v>-121.57</v>
      </c>
    </row>
    <row r="433" spans="1:16" ht="15.75" hidden="1">
      <c r="A433" s="71">
        <f t="shared" si="35"/>
        <v>8</v>
      </c>
      <c r="B433" s="14" t="s">
        <v>33</v>
      </c>
      <c r="C433" s="15" t="s">
        <v>126</v>
      </c>
      <c r="D433" s="39">
        <v>504.15</v>
      </c>
      <c r="E433" s="73">
        <f t="shared" si="36"/>
        <v>4461.12</v>
      </c>
      <c r="F433" s="77"/>
      <c r="G433" s="75">
        <f t="shared" si="37"/>
        <v>8</v>
      </c>
      <c r="H433" s="14" t="s">
        <v>33</v>
      </c>
      <c r="I433" s="15" t="s">
        <v>126</v>
      </c>
      <c r="J433" s="39">
        <v>310.35000000000002</v>
      </c>
      <c r="K433" s="69">
        <f t="shared" si="38"/>
        <v>4962.8</v>
      </c>
      <c r="L433" s="70">
        <f t="shared" si="34"/>
        <v>-193.8</v>
      </c>
      <c r="M433" s="62"/>
      <c r="N433" s="14" t="s">
        <v>48</v>
      </c>
      <c r="O433" s="15" t="s">
        <v>132</v>
      </c>
      <c r="P433" s="1">
        <v>-153.32</v>
      </c>
    </row>
    <row r="434" spans="1:16" ht="15.75" hidden="1">
      <c r="A434" s="71">
        <f t="shared" si="35"/>
        <v>9</v>
      </c>
      <c r="B434" s="47" t="s">
        <v>127</v>
      </c>
      <c r="C434" s="15" t="s">
        <v>126</v>
      </c>
      <c r="D434" s="39">
        <v>161.24</v>
      </c>
      <c r="E434" s="73">
        <f t="shared" si="36"/>
        <v>4622.3599999999997</v>
      </c>
      <c r="F434" s="77"/>
      <c r="G434" s="75">
        <f t="shared" si="37"/>
        <v>9</v>
      </c>
      <c r="H434" s="47" t="s">
        <v>127</v>
      </c>
      <c r="I434" s="15" t="s">
        <v>126</v>
      </c>
      <c r="J434" s="39">
        <v>541.84</v>
      </c>
      <c r="K434" s="69">
        <f t="shared" si="38"/>
        <v>5504.64</v>
      </c>
      <c r="L434" s="70">
        <f t="shared" si="34"/>
        <v>380.6</v>
      </c>
      <c r="M434" s="62"/>
      <c r="N434" s="14" t="s">
        <v>49</v>
      </c>
      <c r="O434" s="15" t="s">
        <v>132</v>
      </c>
      <c r="P434" s="1">
        <v>-961.72</v>
      </c>
    </row>
    <row r="435" spans="1:16" ht="15.75" hidden="1">
      <c r="A435" s="71">
        <f t="shared" si="35"/>
        <v>10</v>
      </c>
      <c r="B435" s="14" t="s">
        <v>40</v>
      </c>
      <c r="C435" s="15" t="s">
        <v>129</v>
      </c>
      <c r="D435" s="39">
        <v>366.34</v>
      </c>
      <c r="E435" s="73">
        <f t="shared" si="36"/>
        <v>4988.7</v>
      </c>
      <c r="F435" s="77"/>
      <c r="G435" s="75">
        <f t="shared" si="37"/>
        <v>10</v>
      </c>
      <c r="H435" s="14" t="s">
        <v>40</v>
      </c>
      <c r="I435" s="15" t="s">
        <v>129</v>
      </c>
      <c r="J435" s="39">
        <v>445.94</v>
      </c>
      <c r="K435" s="69">
        <f t="shared" si="38"/>
        <v>5950.58</v>
      </c>
      <c r="L435" s="70">
        <f t="shared" si="34"/>
        <v>79.599999999999994</v>
      </c>
      <c r="M435" s="62"/>
      <c r="N435" s="14" t="s">
        <v>50</v>
      </c>
      <c r="O435" s="15" t="s">
        <v>132</v>
      </c>
      <c r="P435" s="1">
        <v>-372.76</v>
      </c>
    </row>
    <row r="436" spans="1:16" ht="15.75" hidden="1">
      <c r="A436" s="71">
        <f t="shared" si="35"/>
        <v>11</v>
      </c>
      <c r="B436" s="43" t="s">
        <v>38</v>
      </c>
      <c r="C436" s="15" t="s">
        <v>130</v>
      </c>
      <c r="D436" s="72"/>
      <c r="E436" s="73">
        <f t="shared" si="36"/>
        <v>4988.7</v>
      </c>
      <c r="F436" s="77"/>
      <c r="G436" s="75">
        <f t="shared" si="37"/>
        <v>11</v>
      </c>
      <c r="H436" s="43" t="s">
        <v>38</v>
      </c>
      <c r="I436" s="23" t="s">
        <v>130</v>
      </c>
      <c r="J436" s="72"/>
      <c r="K436" s="69">
        <f t="shared" si="38"/>
        <v>5950.58</v>
      </c>
      <c r="L436" s="70">
        <f t="shared" si="34"/>
        <v>0</v>
      </c>
      <c r="M436" s="62"/>
      <c r="N436" s="25" t="s">
        <v>51</v>
      </c>
      <c r="O436" s="26" t="s">
        <v>133</v>
      </c>
      <c r="P436" s="1">
        <v>209.16</v>
      </c>
    </row>
    <row r="437" spans="1:16" ht="15.75" hidden="1">
      <c r="A437" s="71">
        <f t="shared" si="35"/>
        <v>12</v>
      </c>
      <c r="B437" s="25" t="s">
        <v>39</v>
      </c>
      <c r="C437" s="26" t="s">
        <v>132</v>
      </c>
      <c r="D437" s="39">
        <v>2951.55</v>
      </c>
      <c r="E437" s="73">
        <f t="shared" si="36"/>
        <v>7940.25</v>
      </c>
      <c r="F437" s="77"/>
      <c r="G437" s="75">
        <f t="shared" si="37"/>
        <v>12</v>
      </c>
      <c r="H437" s="25" t="s">
        <v>39</v>
      </c>
      <c r="I437" s="26" t="s">
        <v>132</v>
      </c>
      <c r="J437" s="39">
        <v>3279.45</v>
      </c>
      <c r="K437" s="69">
        <f t="shared" si="38"/>
        <v>9230.0300000000007</v>
      </c>
      <c r="L437" s="70">
        <f t="shared" si="34"/>
        <v>327.9</v>
      </c>
      <c r="M437" s="62"/>
      <c r="N437" s="14" t="s">
        <v>52</v>
      </c>
      <c r="O437" s="15" t="s">
        <v>133</v>
      </c>
      <c r="P437" s="1">
        <v>436.58</v>
      </c>
    </row>
    <row r="438" spans="1:16" ht="15.75" hidden="1">
      <c r="A438" s="71">
        <f t="shared" si="35"/>
        <v>13</v>
      </c>
      <c r="B438" s="14" t="s">
        <v>42</v>
      </c>
      <c r="C438" s="15" t="s">
        <v>132</v>
      </c>
      <c r="D438" s="80"/>
      <c r="E438" s="73">
        <f t="shared" si="36"/>
        <v>7940.25</v>
      </c>
      <c r="F438" s="77"/>
      <c r="G438" s="75">
        <f t="shared" si="37"/>
        <v>13</v>
      </c>
      <c r="H438" s="14" t="s">
        <v>42</v>
      </c>
      <c r="I438" s="15" t="s">
        <v>132</v>
      </c>
      <c r="J438" s="80"/>
      <c r="K438" s="69">
        <f t="shared" si="38"/>
        <v>9230.0300000000007</v>
      </c>
      <c r="L438" s="70">
        <f t="shared" si="34"/>
        <v>0</v>
      </c>
      <c r="M438" s="62"/>
      <c r="N438" s="14" t="s">
        <v>53</v>
      </c>
      <c r="O438" s="15" t="s">
        <v>133</v>
      </c>
      <c r="P438" s="1">
        <v>-1415.62</v>
      </c>
    </row>
    <row r="439" spans="1:16" ht="15.75" hidden="1">
      <c r="A439" s="71">
        <f t="shared" si="35"/>
        <v>14</v>
      </c>
      <c r="B439" s="48" t="s">
        <v>45</v>
      </c>
      <c r="C439" s="49" t="s">
        <v>132</v>
      </c>
      <c r="D439" s="39">
        <v>730.47</v>
      </c>
      <c r="E439" s="73">
        <f t="shared" si="36"/>
        <v>8670.7199999999993</v>
      </c>
      <c r="F439" s="77"/>
      <c r="G439" s="75">
        <f t="shared" si="37"/>
        <v>14</v>
      </c>
      <c r="H439" s="48" t="s">
        <v>45</v>
      </c>
      <c r="I439" s="49" t="s">
        <v>132</v>
      </c>
      <c r="J439" s="39">
        <v>103.27</v>
      </c>
      <c r="K439" s="69">
        <f t="shared" si="38"/>
        <v>9333.2999999999993</v>
      </c>
      <c r="L439" s="70">
        <f t="shared" si="34"/>
        <v>-627.20000000000005</v>
      </c>
      <c r="M439" s="62"/>
      <c r="N439" s="14" t="s">
        <v>54</v>
      </c>
      <c r="O439" s="15" t="s">
        <v>133</v>
      </c>
      <c r="P439" s="1">
        <v>3130.0569999999998</v>
      </c>
    </row>
    <row r="440" spans="1:16" ht="15.75" hidden="1">
      <c r="A440" s="71">
        <f t="shared" si="35"/>
        <v>15</v>
      </c>
      <c r="B440" s="14" t="s">
        <v>47</v>
      </c>
      <c r="C440" s="15" t="s">
        <v>132</v>
      </c>
      <c r="D440" s="37"/>
      <c r="E440" s="73">
        <f t="shared" si="36"/>
        <v>8670.7199999999993</v>
      </c>
      <c r="F440" s="77"/>
      <c r="G440" s="75">
        <f t="shared" si="37"/>
        <v>15</v>
      </c>
      <c r="H440" s="14" t="s">
        <v>47</v>
      </c>
      <c r="I440" s="15" t="s">
        <v>132</v>
      </c>
      <c r="J440" s="37"/>
      <c r="K440" s="69">
        <f t="shared" si="38"/>
        <v>9333.2999999999993</v>
      </c>
      <c r="L440" s="70">
        <f t="shared" si="34"/>
        <v>0</v>
      </c>
      <c r="M440" s="62"/>
      <c r="N440" s="14" t="s">
        <v>55</v>
      </c>
      <c r="O440" s="15" t="s">
        <v>133</v>
      </c>
      <c r="P440" s="1">
        <v>-5493.03</v>
      </c>
    </row>
    <row r="441" spans="1:16" ht="15.75" hidden="1">
      <c r="A441" s="71">
        <f t="shared" si="35"/>
        <v>16</v>
      </c>
      <c r="B441" s="14" t="s">
        <v>48</v>
      </c>
      <c r="C441" s="15" t="s">
        <v>132</v>
      </c>
      <c r="D441" s="76"/>
      <c r="E441" s="73">
        <f t="shared" si="36"/>
        <v>8670.7199999999993</v>
      </c>
      <c r="F441" s="77"/>
      <c r="G441" s="75">
        <f t="shared" si="37"/>
        <v>16</v>
      </c>
      <c r="H441" s="14" t="s">
        <v>48</v>
      </c>
      <c r="I441" s="15" t="s">
        <v>132</v>
      </c>
      <c r="J441" s="76"/>
      <c r="K441" s="69">
        <f t="shared" si="38"/>
        <v>9333.2999999999993</v>
      </c>
      <c r="L441" s="70">
        <f t="shared" si="34"/>
        <v>0</v>
      </c>
      <c r="M441" s="62"/>
      <c r="N441" s="14" t="s">
        <v>56</v>
      </c>
      <c r="O441" s="15" t="s">
        <v>133</v>
      </c>
      <c r="P441" s="1">
        <v>-4039.42</v>
      </c>
    </row>
    <row r="442" spans="1:16" ht="15.75" hidden="1">
      <c r="A442" s="71">
        <f t="shared" si="35"/>
        <v>17</v>
      </c>
      <c r="B442" s="14" t="s">
        <v>49</v>
      </c>
      <c r="C442" s="15" t="s">
        <v>132</v>
      </c>
      <c r="D442" s="72"/>
      <c r="E442" s="73">
        <f t="shared" si="36"/>
        <v>8670.7199999999993</v>
      </c>
      <c r="F442" s="77"/>
      <c r="G442" s="75">
        <f t="shared" si="37"/>
        <v>17</v>
      </c>
      <c r="H442" s="14" t="s">
        <v>49</v>
      </c>
      <c r="I442" s="15" t="s">
        <v>132</v>
      </c>
      <c r="J442" s="72"/>
      <c r="K442" s="69">
        <f t="shared" si="38"/>
        <v>9333.2999999999993</v>
      </c>
      <c r="L442" s="70">
        <f t="shared" si="34"/>
        <v>0</v>
      </c>
      <c r="M442" s="62"/>
      <c r="N442" s="14" t="s">
        <v>57</v>
      </c>
      <c r="O442" s="15" t="s">
        <v>133</v>
      </c>
      <c r="P442" s="1">
        <v>460.22</v>
      </c>
    </row>
    <row r="443" spans="1:16" ht="15.75" hidden="1">
      <c r="A443" s="71">
        <f t="shared" si="35"/>
        <v>18</v>
      </c>
      <c r="B443" s="14" t="s">
        <v>50</v>
      </c>
      <c r="C443" s="15" t="s">
        <v>132</v>
      </c>
      <c r="D443" s="76"/>
      <c r="E443" s="73">
        <f t="shared" si="36"/>
        <v>8670.7199999999993</v>
      </c>
      <c r="F443" s="77"/>
      <c r="G443" s="75">
        <f t="shared" si="37"/>
        <v>18</v>
      </c>
      <c r="H443" s="14" t="s">
        <v>50</v>
      </c>
      <c r="I443" s="15" t="s">
        <v>132</v>
      </c>
      <c r="J443" s="76"/>
      <c r="K443" s="69">
        <f t="shared" si="38"/>
        <v>9333.2999999999993</v>
      </c>
      <c r="L443" s="70">
        <f t="shared" si="34"/>
        <v>0</v>
      </c>
      <c r="M443" s="62"/>
      <c r="N443" s="43" t="s">
        <v>58</v>
      </c>
      <c r="O443" s="23" t="s">
        <v>133</v>
      </c>
      <c r="P443" s="1">
        <v>-10680.4</v>
      </c>
    </row>
    <row r="444" spans="1:16" ht="15.75" hidden="1">
      <c r="A444" s="71">
        <f t="shared" si="35"/>
        <v>19</v>
      </c>
      <c r="B444" s="25" t="s">
        <v>51</v>
      </c>
      <c r="C444" s="81" t="s">
        <v>133</v>
      </c>
      <c r="D444" s="72"/>
      <c r="E444" s="73">
        <f t="shared" si="36"/>
        <v>8670.7199999999993</v>
      </c>
      <c r="F444" s="77"/>
      <c r="G444" s="75">
        <f t="shared" si="37"/>
        <v>19</v>
      </c>
      <c r="H444" s="25" t="s">
        <v>51</v>
      </c>
      <c r="I444" s="26" t="s">
        <v>133</v>
      </c>
      <c r="J444" s="39">
        <v>209.16</v>
      </c>
      <c r="K444" s="69">
        <f t="shared" si="38"/>
        <v>9542.4599999999991</v>
      </c>
      <c r="L444" s="70">
        <f t="shared" si="34"/>
        <v>209.16</v>
      </c>
      <c r="M444" s="62"/>
      <c r="N444" s="25" t="s">
        <v>59</v>
      </c>
      <c r="O444" s="26" t="s">
        <v>134</v>
      </c>
      <c r="P444" s="1">
        <v>655.61</v>
      </c>
    </row>
    <row r="445" spans="1:16" ht="15.75" hidden="1">
      <c r="A445" s="71">
        <f t="shared" si="35"/>
        <v>20</v>
      </c>
      <c r="B445" s="14" t="s">
        <v>52</v>
      </c>
      <c r="C445" s="15" t="s">
        <v>133</v>
      </c>
      <c r="D445" s="39">
        <v>266.27999999999997</v>
      </c>
      <c r="E445" s="73">
        <f t="shared" si="36"/>
        <v>8937</v>
      </c>
      <c r="F445" s="77"/>
      <c r="G445" s="75">
        <f t="shared" si="37"/>
        <v>20</v>
      </c>
      <c r="H445" s="14" t="s">
        <v>52</v>
      </c>
      <c r="I445" s="15" t="s">
        <v>133</v>
      </c>
      <c r="J445" s="39">
        <v>436.58</v>
      </c>
      <c r="K445" s="69">
        <f t="shared" si="38"/>
        <v>9979.0400000000009</v>
      </c>
      <c r="L445" s="70">
        <f t="shared" si="34"/>
        <v>170.3</v>
      </c>
      <c r="M445" s="62"/>
      <c r="N445" s="14" t="s">
        <v>60</v>
      </c>
      <c r="O445" s="15" t="s">
        <v>134</v>
      </c>
      <c r="P445" s="1">
        <v>-216.18</v>
      </c>
    </row>
    <row r="446" spans="1:16" ht="15.75" hidden="1">
      <c r="A446" s="71">
        <f t="shared" si="35"/>
        <v>21</v>
      </c>
      <c r="B446" s="14" t="s">
        <v>53</v>
      </c>
      <c r="C446" s="15" t="s">
        <v>133</v>
      </c>
      <c r="D446" s="72"/>
      <c r="E446" s="73">
        <f t="shared" si="36"/>
        <v>8937</v>
      </c>
      <c r="F446" s="77"/>
      <c r="G446" s="75">
        <f t="shared" si="37"/>
        <v>21</v>
      </c>
      <c r="H446" s="14" t="s">
        <v>53</v>
      </c>
      <c r="I446" s="15" t="s">
        <v>133</v>
      </c>
      <c r="J446" s="72"/>
      <c r="K446" s="69">
        <f t="shared" si="38"/>
        <v>9979.0400000000009</v>
      </c>
      <c r="L446" s="70">
        <f t="shared" si="34"/>
        <v>0</v>
      </c>
      <c r="M446" s="62"/>
      <c r="N446" s="14" t="s">
        <v>61</v>
      </c>
      <c r="O446" s="15" t="s">
        <v>134</v>
      </c>
      <c r="P446" s="1">
        <v>-43.69</v>
      </c>
    </row>
    <row r="447" spans="1:16" ht="15.75" hidden="1">
      <c r="A447" s="71">
        <f t="shared" si="35"/>
        <v>22</v>
      </c>
      <c r="B447" s="14" t="s">
        <v>54</v>
      </c>
      <c r="C447" s="15" t="s">
        <v>133</v>
      </c>
      <c r="D447" s="39">
        <v>3387.7570000000001</v>
      </c>
      <c r="E447" s="73">
        <f t="shared" si="36"/>
        <v>12324.757</v>
      </c>
      <c r="F447" s="77"/>
      <c r="G447" s="75">
        <f t="shared" si="37"/>
        <v>22</v>
      </c>
      <c r="H447" s="14" t="s">
        <v>54</v>
      </c>
      <c r="I447" s="15" t="s">
        <v>133</v>
      </c>
      <c r="J447" s="39">
        <v>3130.0569999999998</v>
      </c>
      <c r="K447" s="69">
        <f t="shared" si="38"/>
        <v>13109.097</v>
      </c>
      <c r="L447" s="70">
        <f t="shared" si="34"/>
        <v>-257.7</v>
      </c>
      <c r="M447" s="62"/>
      <c r="N447" s="14" t="s">
        <v>62</v>
      </c>
      <c r="O447" s="15" t="s">
        <v>134</v>
      </c>
      <c r="P447" s="1">
        <v>767.95</v>
      </c>
    </row>
    <row r="448" spans="1:16" ht="15.75" hidden="1">
      <c r="A448" s="71">
        <f t="shared" si="35"/>
        <v>23</v>
      </c>
      <c r="B448" s="14" t="s">
        <v>57</v>
      </c>
      <c r="C448" s="15" t="s">
        <v>133</v>
      </c>
      <c r="D448" s="39">
        <v>126.72</v>
      </c>
      <c r="E448" s="73">
        <f t="shared" si="36"/>
        <v>12451.477000000001</v>
      </c>
      <c r="F448" s="77"/>
      <c r="G448" s="75">
        <f t="shared" si="37"/>
        <v>23</v>
      </c>
      <c r="H448" s="14" t="s">
        <v>57</v>
      </c>
      <c r="I448" s="15" t="s">
        <v>133</v>
      </c>
      <c r="J448" s="39">
        <v>460.22</v>
      </c>
      <c r="K448" s="69">
        <f t="shared" si="38"/>
        <v>13569.316999999999</v>
      </c>
      <c r="L448" s="70">
        <f t="shared" si="34"/>
        <v>333.5</v>
      </c>
      <c r="M448" s="62"/>
      <c r="N448" s="14" t="s">
        <v>63</v>
      </c>
      <c r="O448" s="15" t="s">
        <v>134</v>
      </c>
      <c r="P448" s="1">
        <v>584.29999999999995</v>
      </c>
    </row>
    <row r="449" spans="1:16" ht="15.75" hidden="1">
      <c r="A449" s="71">
        <f t="shared" si="35"/>
        <v>24</v>
      </c>
      <c r="B449" s="25" t="s">
        <v>59</v>
      </c>
      <c r="C449" s="15" t="s">
        <v>134</v>
      </c>
      <c r="D449" s="39">
        <v>494.51</v>
      </c>
      <c r="E449" s="73">
        <f t="shared" si="36"/>
        <v>12945.986999999999</v>
      </c>
      <c r="F449" s="77"/>
      <c r="G449" s="75">
        <f t="shared" si="37"/>
        <v>24</v>
      </c>
      <c r="H449" s="25" t="s">
        <v>59</v>
      </c>
      <c r="I449" s="26" t="s">
        <v>134</v>
      </c>
      <c r="J449" s="39">
        <v>655.61</v>
      </c>
      <c r="K449" s="69">
        <f t="shared" si="38"/>
        <v>14224.927</v>
      </c>
      <c r="L449" s="70">
        <f t="shared" si="34"/>
        <v>161.1</v>
      </c>
      <c r="M449" s="62"/>
      <c r="N449" s="14" t="s">
        <v>64</v>
      </c>
      <c r="O449" s="15" t="s">
        <v>134</v>
      </c>
      <c r="P449" s="1">
        <v>438.75</v>
      </c>
    </row>
    <row r="450" spans="1:16" ht="15.75" hidden="1">
      <c r="A450" s="71">
        <f t="shared" si="35"/>
        <v>25</v>
      </c>
      <c r="B450" s="14" t="s">
        <v>61</v>
      </c>
      <c r="C450" s="15" t="s">
        <v>134</v>
      </c>
      <c r="D450" s="72"/>
      <c r="E450" s="73">
        <f t="shared" si="36"/>
        <v>12945.986999999999</v>
      </c>
      <c r="F450" s="77"/>
      <c r="G450" s="75">
        <f t="shared" si="37"/>
        <v>25</v>
      </c>
      <c r="H450" s="14" t="s">
        <v>60</v>
      </c>
      <c r="I450" s="15" t="s">
        <v>134</v>
      </c>
      <c r="J450" s="72"/>
      <c r="K450" s="69">
        <f t="shared" si="38"/>
        <v>14224.927</v>
      </c>
      <c r="L450" s="70">
        <f t="shared" si="34"/>
        <v>0</v>
      </c>
      <c r="M450" s="62"/>
      <c r="N450" s="14" t="s">
        <v>65</v>
      </c>
      <c r="O450" s="15" t="s">
        <v>134</v>
      </c>
      <c r="P450" s="1">
        <v>334.19</v>
      </c>
    </row>
    <row r="451" spans="1:16" ht="15.75" hidden="1">
      <c r="A451" s="71">
        <f t="shared" si="35"/>
        <v>26</v>
      </c>
      <c r="B451" s="14" t="s">
        <v>62</v>
      </c>
      <c r="C451" s="15" t="s">
        <v>134</v>
      </c>
      <c r="D451" s="39"/>
      <c r="E451" s="73">
        <f t="shared" si="36"/>
        <v>12945.986999999999</v>
      </c>
      <c r="F451" s="77"/>
      <c r="G451" s="75">
        <f t="shared" si="37"/>
        <v>26</v>
      </c>
      <c r="H451" s="14" t="s">
        <v>61</v>
      </c>
      <c r="I451" s="15" t="s">
        <v>134</v>
      </c>
      <c r="J451" s="39"/>
      <c r="K451" s="69">
        <f t="shared" si="38"/>
        <v>14224.927</v>
      </c>
      <c r="L451" s="70">
        <f t="shared" si="34"/>
        <v>0</v>
      </c>
      <c r="M451" s="62"/>
      <c r="N451" s="43" t="s">
        <v>66</v>
      </c>
      <c r="O451" s="23" t="s">
        <v>134</v>
      </c>
      <c r="P451" s="1">
        <v>2000.49</v>
      </c>
    </row>
    <row r="452" spans="1:16" ht="15.75" hidden="1">
      <c r="A452" s="71">
        <f t="shared" si="35"/>
        <v>27</v>
      </c>
      <c r="B452" s="14" t="s">
        <v>63</v>
      </c>
      <c r="C452" s="15" t="s">
        <v>134</v>
      </c>
      <c r="D452" s="39">
        <v>411.35</v>
      </c>
      <c r="E452" s="73">
        <f t="shared" si="36"/>
        <v>13357.337</v>
      </c>
      <c r="F452" s="77"/>
      <c r="G452" s="75">
        <f t="shared" si="37"/>
        <v>27</v>
      </c>
      <c r="H452" s="14" t="s">
        <v>62</v>
      </c>
      <c r="I452" s="15" t="s">
        <v>134</v>
      </c>
      <c r="J452" s="39">
        <v>767.95</v>
      </c>
      <c r="K452" s="69">
        <f t="shared" si="38"/>
        <v>14992.877</v>
      </c>
      <c r="L452" s="70">
        <f t="shared" si="34"/>
        <v>356.6</v>
      </c>
      <c r="M452" s="62"/>
      <c r="N452" s="25" t="s">
        <v>67</v>
      </c>
      <c r="O452" s="26" t="s">
        <v>135</v>
      </c>
      <c r="P452" s="1">
        <v>-1508.51</v>
      </c>
    </row>
    <row r="453" spans="1:16" ht="15.75" hidden="1">
      <c r="A453" s="71">
        <f t="shared" si="35"/>
        <v>28</v>
      </c>
      <c r="B453" s="14" t="s">
        <v>63</v>
      </c>
      <c r="C453" s="15" t="s">
        <v>134</v>
      </c>
      <c r="D453" s="39">
        <v>322.39999999999998</v>
      </c>
      <c r="E453" s="73">
        <f t="shared" si="36"/>
        <v>13679.736999999999</v>
      </c>
      <c r="F453" s="77"/>
      <c r="G453" s="75">
        <f t="shared" si="37"/>
        <v>28</v>
      </c>
      <c r="H453" s="14" t="s">
        <v>63</v>
      </c>
      <c r="I453" s="15" t="s">
        <v>134</v>
      </c>
      <c r="J453" s="39">
        <v>584.29999999999995</v>
      </c>
      <c r="K453" s="69">
        <f t="shared" si="38"/>
        <v>15577.177</v>
      </c>
      <c r="L453" s="70">
        <f t="shared" si="34"/>
        <v>261.89999999999998</v>
      </c>
      <c r="M453" s="62"/>
      <c r="N453" s="14" t="s">
        <v>68</v>
      </c>
      <c r="O453" s="15" t="s">
        <v>135</v>
      </c>
      <c r="P453" s="1">
        <v>-3160.86</v>
      </c>
    </row>
    <row r="454" spans="1:16" ht="15.75" hidden="1">
      <c r="A454" s="71">
        <f t="shared" si="35"/>
        <v>29</v>
      </c>
      <c r="B454" s="14" t="s">
        <v>64</v>
      </c>
      <c r="C454" s="15" t="s">
        <v>134</v>
      </c>
      <c r="D454" s="39">
        <v>169.55</v>
      </c>
      <c r="E454" s="73">
        <f t="shared" si="36"/>
        <v>13849.287</v>
      </c>
      <c r="F454" s="77"/>
      <c r="G454" s="75">
        <f t="shared" si="37"/>
        <v>29</v>
      </c>
      <c r="H454" s="14" t="s">
        <v>64</v>
      </c>
      <c r="I454" s="15" t="s">
        <v>134</v>
      </c>
      <c r="J454" s="39">
        <v>438.75</v>
      </c>
      <c r="K454" s="69">
        <f t="shared" si="38"/>
        <v>16015.927</v>
      </c>
      <c r="L454" s="70">
        <f t="shared" si="34"/>
        <v>269.2</v>
      </c>
      <c r="M454" s="62"/>
      <c r="N454" s="43" t="s">
        <v>69</v>
      </c>
      <c r="O454" s="23" t="s">
        <v>135</v>
      </c>
      <c r="P454" s="1">
        <v>-3667.86</v>
      </c>
    </row>
    <row r="455" spans="1:16" ht="15.75" hidden="1">
      <c r="A455" s="71">
        <f t="shared" si="35"/>
        <v>30</v>
      </c>
      <c r="B455" s="14" t="s">
        <v>65</v>
      </c>
      <c r="C455" s="15" t="s">
        <v>134</v>
      </c>
      <c r="D455" s="39">
        <v>476.99</v>
      </c>
      <c r="E455" s="73">
        <f t="shared" si="36"/>
        <v>14326.277</v>
      </c>
      <c r="F455" s="77"/>
      <c r="G455" s="75">
        <f t="shared" si="37"/>
        <v>30</v>
      </c>
      <c r="H455" s="14" t="s">
        <v>65</v>
      </c>
      <c r="I455" s="15" t="s">
        <v>134</v>
      </c>
      <c r="J455" s="39">
        <v>334.19</v>
      </c>
      <c r="K455" s="69">
        <f t="shared" si="38"/>
        <v>16350.117</v>
      </c>
      <c r="L455" s="70">
        <f t="shared" si="34"/>
        <v>-142.80000000000001</v>
      </c>
      <c r="M455" s="62"/>
      <c r="N455" s="25" t="s">
        <v>136</v>
      </c>
      <c r="O455" s="26" t="s">
        <v>137</v>
      </c>
      <c r="P455" s="1">
        <v>-3053.28</v>
      </c>
    </row>
    <row r="456" spans="1:16" ht="15.75" hidden="1">
      <c r="A456" s="71">
        <f t="shared" si="35"/>
        <v>31</v>
      </c>
      <c r="B456" s="43" t="s">
        <v>66</v>
      </c>
      <c r="C456" s="23" t="s">
        <v>134</v>
      </c>
      <c r="D456" s="39">
        <v>1584.79</v>
      </c>
      <c r="E456" s="73">
        <f t="shared" si="36"/>
        <v>15911.066999999999</v>
      </c>
      <c r="F456" s="77"/>
      <c r="G456" s="75">
        <f t="shared" si="37"/>
        <v>31</v>
      </c>
      <c r="H456" s="43" t="s">
        <v>66</v>
      </c>
      <c r="I456" s="23" t="s">
        <v>135</v>
      </c>
      <c r="J456" s="39">
        <v>2000.49</v>
      </c>
      <c r="K456" s="69">
        <f t="shared" si="38"/>
        <v>18350.607</v>
      </c>
      <c r="L456" s="70">
        <f t="shared" si="34"/>
        <v>415.7</v>
      </c>
      <c r="M456" s="62"/>
      <c r="N456" s="14" t="s">
        <v>71</v>
      </c>
      <c r="O456" s="15" t="s">
        <v>137</v>
      </c>
      <c r="P456" s="1">
        <v>1113.55</v>
      </c>
    </row>
    <row r="457" spans="1:16" ht="15.75" hidden="1">
      <c r="A457" s="71">
        <f t="shared" si="35"/>
        <v>32</v>
      </c>
      <c r="B457" s="14" t="s">
        <v>71</v>
      </c>
      <c r="C457" s="26" t="s">
        <v>137</v>
      </c>
      <c r="D457" s="39">
        <v>747.55</v>
      </c>
      <c r="E457" s="73">
        <f t="shared" si="36"/>
        <v>16658.616999999998</v>
      </c>
      <c r="F457" s="77"/>
      <c r="G457" s="75">
        <f t="shared" si="37"/>
        <v>32</v>
      </c>
      <c r="H457" s="14" t="s">
        <v>71</v>
      </c>
      <c r="I457" s="26" t="s">
        <v>137</v>
      </c>
      <c r="J457" s="39">
        <v>1113.55</v>
      </c>
      <c r="K457" s="69">
        <f t="shared" si="38"/>
        <v>19464.156999999999</v>
      </c>
      <c r="L457" s="70">
        <f t="shared" si="34"/>
        <v>366</v>
      </c>
      <c r="M457" s="62"/>
      <c r="N457" s="14" t="s">
        <v>72</v>
      </c>
      <c r="O457" s="15" t="s">
        <v>137</v>
      </c>
      <c r="P457" s="1">
        <v>1303.7</v>
      </c>
    </row>
    <row r="458" spans="1:16" ht="15.75" hidden="1">
      <c r="A458" s="71">
        <f t="shared" si="35"/>
        <v>33</v>
      </c>
      <c r="B458" s="14" t="s">
        <v>72</v>
      </c>
      <c r="C458" s="82" t="s">
        <v>137</v>
      </c>
      <c r="D458" s="39">
        <v>2232</v>
      </c>
      <c r="E458" s="73">
        <f t="shared" si="36"/>
        <v>18890.616999999998</v>
      </c>
      <c r="F458" s="77"/>
      <c r="G458" s="75">
        <f t="shared" si="37"/>
        <v>33</v>
      </c>
      <c r="H458" s="14" t="s">
        <v>72</v>
      </c>
      <c r="I458" s="82" t="s">
        <v>137</v>
      </c>
      <c r="J458" s="39">
        <v>1303.7</v>
      </c>
      <c r="K458" s="69">
        <f t="shared" si="38"/>
        <v>20767.857</v>
      </c>
      <c r="L458" s="70">
        <f t="shared" si="34"/>
        <v>-928.3</v>
      </c>
      <c r="M458" s="62"/>
      <c r="N458" s="14" t="s">
        <v>138</v>
      </c>
      <c r="O458" s="15" t="s">
        <v>137</v>
      </c>
      <c r="P458" s="1"/>
    </row>
    <row r="459" spans="1:16" ht="15.75" hidden="1">
      <c r="A459" s="71">
        <f t="shared" si="35"/>
        <v>34</v>
      </c>
      <c r="B459" s="25" t="s">
        <v>77</v>
      </c>
      <c r="C459" s="26" t="s">
        <v>139</v>
      </c>
      <c r="D459" s="39">
        <v>1776.67</v>
      </c>
      <c r="E459" s="73">
        <f t="shared" si="36"/>
        <v>20667.287</v>
      </c>
      <c r="F459" s="77"/>
      <c r="G459" s="75">
        <f t="shared" si="37"/>
        <v>34</v>
      </c>
      <c r="H459" s="25" t="s">
        <v>77</v>
      </c>
      <c r="I459" s="26" t="s">
        <v>139</v>
      </c>
      <c r="J459" s="39">
        <v>1992.78</v>
      </c>
      <c r="K459" s="69">
        <f t="shared" si="38"/>
        <v>22760.636999999999</v>
      </c>
      <c r="L459" s="70">
        <f t="shared" si="34"/>
        <v>216.11</v>
      </c>
      <c r="M459" s="62"/>
      <c r="N459" s="14" t="s">
        <v>74</v>
      </c>
      <c r="O459" s="15" t="s">
        <v>137</v>
      </c>
      <c r="P459" s="1">
        <v>-4521.8</v>
      </c>
    </row>
    <row r="460" spans="1:16" ht="15.75" hidden="1">
      <c r="A460" s="71">
        <f t="shared" si="35"/>
        <v>35</v>
      </c>
      <c r="B460" s="14" t="s">
        <v>78</v>
      </c>
      <c r="C460" s="15" t="s">
        <v>139</v>
      </c>
      <c r="D460" s="39">
        <v>640</v>
      </c>
      <c r="E460" s="73">
        <f t="shared" si="36"/>
        <v>21307.287</v>
      </c>
      <c r="F460" s="77"/>
      <c r="G460" s="75">
        <f t="shared" si="37"/>
        <v>35</v>
      </c>
      <c r="H460" s="14" t="s">
        <v>78</v>
      </c>
      <c r="I460" s="15" t="s">
        <v>139</v>
      </c>
      <c r="J460" s="39">
        <v>449.8</v>
      </c>
      <c r="K460" s="69">
        <f t="shared" si="38"/>
        <v>23210.437000000002</v>
      </c>
      <c r="L460" s="70">
        <f t="shared" si="34"/>
        <v>-190.2</v>
      </c>
      <c r="M460" s="62"/>
      <c r="N460" s="14" t="s">
        <v>75</v>
      </c>
      <c r="O460" s="15" t="s">
        <v>137</v>
      </c>
      <c r="P460" s="1">
        <v>-16191.79</v>
      </c>
    </row>
    <row r="461" spans="1:16" ht="15.75" hidden="1">
      <c r="A461" s="71">
        <f t="shared" si="35"/>
        <v>36</v>
      </c>
      <c r="B461" s="14" t="s">
        <v>79</v>
      </c>
      <c r="C461" s="15" t="s">
        <v>139</v>
      </c>
      <c r="D461" s="76"/>
      <c r="E461" s="73">
        <f t="shared" si="36"/>
        <v>21307.287</v>
      </c>
      <c r="F461" s="77"/>
      <c r="G461" s="75">
        <f t="shared" si="37"/>
        <v>36</v>
      </c>
      <c r="H461" s="14" t="s">
        <v>79</v>
      </c>
      <c r="I461" s="15" t="s">
        <v>139</v>
      </c>
      <c r="J461" s="76"/>
      <c r="K461" s="69">
        <f t="shared" si="38"/>
        <v>23210.437000000002</v>
      </c>
      <c r="L461" s="70">
        <f t="shared" si="34"/>
        <v>0</v>
      </c>
      <c r="M461" s="62"/>
      <c r="N461" s="43" t="s">
        <v>76</v>
      </c>
      <c r="O461" s="23" t="s">
        <v>137</v>
      </c>
      <c r="P461" s="1">
        <v>-48576.94</v>
      </c>
    </row>
    <row r="462" spans="1:16" ht="15.75" hidden="1">
      <c r="A462" s="71">
        <f t="shared" si="35"/>
        <v>37</v>
      </c>
      <c r="B462" s="25" t="s">
        <v>80</v>
      </c>
      <c r="C462" s="15" t="s">
        <v>139</v>
      </c>
      <c r="D462" s="39">
        <v>164.81</v>
      </c>
      <c r="E462" s="73">
        <f t="shared" si="36"/>
        <v>21472.097000000002</v>
      </c>
      <c r="F462" s="77"/>
      <c r="G462" s="75">
        <f t="shared" si="37"/>
        <v>37</v>
      </c>
      <c r="H462" s="14" t="s">
        <v>80</v>
      </c>
      <c r="I462" s="15" t="s">
        <v>139</v>
      </c>
      <c r="J462" s="39">
        <v>241.71</v>
      </c>
      <c r="K462" s="69">
        <f t="shared" si="38"/>
        <v>23452.147000000001</v>
      </c>
      <c r="L462" s="70">
        <f t="shared" si="34"/>
        <v>76.900000000000006</v>
      </c>
      <c r="M462" s="62"/>
      <c r="N462" s="25" t="s">
        <v>77</v>
      </c>
      <c r="O462" s="26" t="s">
        <v>139</v>
      </c>
      <c r="P462" s="1">
        <v>1992.78</v>
      </c>
    </row>
    <row r="463" spans="1:16" ht="15.75" hidden="1">
      <c r="A463" s="71">
        <f t="shared" si="35"/>
        <v>38</v>
      </c>
      <c r="B463" s="14" t="s">
        <v>81</v>
      </c>
      <c r="C463" s="15" t="s">
        <v>139</v>
      </c>
      <c r="D463" s="76"/>
      <c r="E463" s="73">
        <f t="shared" si="36"/>
        <v>21472.097000000002</v>
      </c>
      <c r="F463" s="77"/>
      <c r="G463" s="75">
        <f t="shared" si="37"/>
        <v>38</v>
      </c>
      <c r="H463" s="14" t="s">
        <v>81</v>
      </c>
      <c r="I463" s="15" t="s">
        <v>139</v>
      </c>
      <c r="J463" s="76"/>
      <c r="K463" s="69">
        <f t="shared" si="38"/>
        <v>23452.147000000001</v>
      </c>
      <c r="L463" s="70">
        <f t="shared" si="34"/>
        <v>0</v>
      </c>
      <c r="M463" s="62"/>
      <c r="N463" s="14" t="s">
        <v>78</v>
      </c>
      <c r="O463" s="15" t="s">
        <v>139</v>
      </c>
      <c r="P463" s="1">
        <v>449.8</v>
      </c>
    </row>
    <row r="464" spans="1:16" ht="15.75" hidden="1">
      <c r="A464" s="71">
        <f t="shared" si="35"/>
        <v>39</v>
      </c>
      <c r="B464" s="14" t="s">
        <v>82</v>
      </c>
      <c r="C464" s="15" t="s">
        <v>139</v>
      </c>
      <c r="D464" s="37"/>
      <c r="E464" s="73">
        <f t="shared" si="36"/>
        <v>21472.097000000002</v>
      </c>
      <c r="F464" s="77"/>
      <c r="G464" s="75">
        <f t="shared" si="37"/>
        <v>39</v>
      </c>
      <c r="H464" s="14" t="s">
        <v>82</v>
      </c>
      <c r="I464" s="15" t="s">
        <v>139</v>
      </c>
      <c r="J464" s="39">
        <v>78.3</v>
      </c>
      <c r="K464" s="69">
        <f t="shared" si="38"/>
        <v>23530.447</v>
      </c>
      <c r="L464" s="70">
        <f t="shared" si="34"/>
        <v>78.3</v>
      </c>
      <c r="M464" s="62"/>
      <c r="N464" s="14" t="s">
        <v>79</v>
      </c>
      <c r="O464" s="15" t="s">
        <v>139</v>
      </c>
      <c r="P464" s="1">
        <v>-1939.66</v>
      </c>
    </row>
    <row r="465" spans="1:16" ht="15.75" hidden="1">
      <c r="A465" s="71">
        <f t="shared" si="35"/>
        <v>40</v>
      </c>
      <c r="B465" s="14" t="s">
        <v>83</v>
      </c>
      <c r="C465" s="15" t="s">
        <v>139</v>
      </c>
      <c r="D465" s="76"/>
      <c r="E465" s="73">
        <f t="shared" si="36"/>
        <v>21472.097000000002</v>
      </c>
      <c r="F465" s="77"/>
      <c r="G465" s="75">
        <f t="shared" si="37"/>
        <v>40</v>
      </c>
      <c r="H465" s="14" t="s">
        <v>83</v>
      </c>
      <c r="I465" s="15" t="s">
        <v>139</v>
      </c>
      <c r="J465" s="76"/>
      <c r="K465" s="69">
        <f t="shared" si="38"/>
        <v>23530.447</v>
      </c>
      <c r="L465" s="70">
        <f t="shared" si="34"/>
        <v>0</v>
      </c>
      <c r="M465" s="62"/>
      <c r="N465" s="14" t="s">
        <v>80</v>
      </c>
      <c r="O465" s="15" t="s">
        <v>139</v>
      </c>
      <c r="P465" s="1">
        <v>241.71</v>
      </c>
    </row>
    <row r="466" spans="1:16" ht="15.75" hidden="1">
      <c r="A466" s="71">
        <f t="shared" si="35"/>
        <v>41</v>
      </c>
      <c r="B466" s="14" t="s">
        <v>84</v>
      </c>
      <c r="C466" s="15" t="s">
        <v>139</v>
      </c>
      <c r="D466" s="39">
        <v>936.7</v>
      </c>
      <c r="E466" s="73">
        <f t="shared" si="36"/>
        <v>22408.796999999999</v>
      </c>
      <c r="F466" s="77"/>
      <c r="G466" s="75">
        <f t="shared" si="37"/>
        <v>41</v>
      </c>
      <c r="H466" s="14" t="s">
        <v>84</v>
      </c>
      <c r="I466" s="15" t="s">
        <v>139</v>
      </c>
      <c r="J466" s="39"/>
      <c r="K466" s="69">
        <f t="shared" si="38"/>
        <v>23530.447</v>
      </c>
      <c r="L466" s="70">
        <f t="shared" si="34"/>
        <v>-936.7</v>
      </c>
      <c r="M466" s="62"/>
      <c r="N466" s="14" t="s">
        <v>81</v>
      </c>
      <c r="O466" s="15" t="s">
        <v>139</v>
      </c>
      <c r="P466" s="1">
        <v>-691.4</v>
      </c>
    </row>
    <row r="467" spans="1:16" ht="15.75" hidden="1">
      <c r="A467" s="71">
        <f t="shared" si="35"/>
        <v>42</v>
      </c>
      <c r="B467" s="14" t="s">
        <v>86</v>
      </c>
      <c r="C467" s="15" t="s">
        <v>139</v>
      </c>
      <c r="D467" s="39">
        <v>163.69999999999999</v>
      </c>
      <c r="E467" s="73">
        <f t="shared" si="36"/>
        <v>22572.496999999999</v>
      </c>
      <c r="F467" s="77"/>
      <c r="G467" s="75">
        <f t="shared" si="37"/>
        <v>42</v>
      </c>
      <c r="H467" s="14" t="s">
        <v>86</v>
      </c>
      <c r="I467" s="23" t="s">
        <v>139</v>
      </c>
      <c r="J467" s="39">
        <v>379.9</v>
      </c>
      <c r="K467" s="69">
        <f t="shared" si="38"/>
        <v>23910.347000000002</v>
      </c>
      <c r="L467" s="70">
        <f t="shared" si="34"/>
        <v>216.2</v>
      </c>
      <c r="M467" s="62"/>
      <c r="N467" s="14" t="s">
        <v>82</v>
      </c>
      <c r="O467" s="15" t="s">
        <v>139</v>
      </c>
      <c r="P467" s="1">
        <v>78.3</v>
      </c>
    </row>
    <row r="468" spans="1:16" ht="15.75" hidden="1">
      <c r="A468" s="71">
        <f t="shared" si="35"/>
        <v>43</v>
      </c>
      <c r="B468" s="43" t="s">
        <v>87</v>
      </c>
      <c r="C468" s="23" t="s">
        <v>139</v>
      </c>
      <c r="D468" s="76"/>
      <c r="E468" s="73">
        <f t="shared" si="36"/>
        <v>22572.496999999999</v>
      </c>
      <c r="F468" s="77"/>
      <c r="G468" s="75">
        <f t="shared" si="37"/>
        <v>43</v>
      </c>
      <c r="H468" s="43" t="s">
        <v>87</v>
      </c>
      <c r="I468" s="23" t="s">
        <v>139</v>
      </c>
      <c r="J468" s="76"/>
      <c r="K468" s="69">
        <f t="shared" si="38"/>
        <v>23910.347000000002</v>
      </c>
      <c r="L468" s="70">
        <f t="shared" si="34"/>
        <v>0</v>
      </c>
      <c r="M468" s="62"/>
      <c r="N468" s="14" t="s">
        <v>83</v>
      </c>
      <c r="O468" s="15" t="s">
        <v>139</v>
      </c>
      <c r="P468" s="1">
        <v>-2224.13</v>
      </c>
    </row>
    <row r="469" spans="1:16" ht="15.75" hidden="1">
      <c r="A469" s="71">
        <f t="shared" si="35"/>
        <v>44</v>
      </c>
      <c r="B469" s="14" t="s">
        <v>89</v>
      </c>
      <c r="C469" s="15" t="s">
        <v>141</v>
      </c>
      <c r="D469" s="39">
        <v>53</v>
      </c>
      <c r="E469" s="73">
        <f t="shared" si="36"/>
        <v>22625.496999999999</v>
      </c>
      <c r="F469" s="77"/>
      <c r="G469" s="75">
        <f t="shared" si="37"/>
        <v>44</v>
      </c>
      <c r="H469" s="14" t="s">
        <v>89</v>
      </c>
      <c r="I469" s="15" t="s">
        <v>141</v>
      </c>
      <c r="J469" s="39"/>
      <c r="K469" s="69">
        <f t="shared" si="38"/>
        <v>23910.347000000002</v>
      </c>
      <c r="L469" s="70">
        <f t="shared" si="34"/>
        <v>-53</v>
      </c>
      <c r="M469" s="62"/>
      <c r="N469" s="14" t="s">
        <v>84</v>
      </c>
      <c r="O469" s="15" t="s">
        <v>139</v>
      </c>
      <c r="P469" s="1">
        <v>692</v>
      </c>
    </row>
    <row r="470" spans="1:16" ht="15.75" hidden="1">
      <c r="A470" s="71">
        <f t="shared" si="35"/>
        <v>45</v>
      </c>
      <c r="B470" s="14" t="s">
        <v>90</v>
      </c>
      <c r="C470" s="15" t="s">
        <v>141</v>
      </c>
      <c r="D470" s="39">
        <v>775</v>
      </c>
      <c r="E470" s="73">
        <f t="shared" si="36"/>
        <v>23400.496999999999</v>
      </c>
      <c r="F470" s="77"/>
      <c r="G470" s="75">
        <f t="shared" si="37"/>
        <v>45</v>
      </c>
      <c r="H470" s="14" t="s">
        <v>90</v>
      </c>
      <c r="I470" s="15" t="s">
        <v>141</v>
      </c>
      <c r="J470" s="39">
        <v>826.1</v>
      </c>
      <c r="K470" s="69">
        <f t="shared" si="38"/>
        <v>24736.447</v>
      </c>
      <c r="L470" s="70">
        <f t="shared" si="34"/>
        <v>51.1</v>
      </c>
      <c r="M470" s="62"/>
      <c r="N470" s="14" t="s">
        <v>85</v>
      </c>
      <c r="O470" s="15" t="s">
        <v>139</v>
      </c>
      <c r="P470" s="1">
        <v>-2970.3</v>
      </c>
    </row>
    <row r="471" spans="1:16" ht="15.75" hidden="1">
      <c r="A471" s="71">
        <f t="shared" si="35"/>
        <v>46</v>
      </c>
      <c r="B471" s="14" t="s">
        <v>91</v>
      </c>
      <c r="C471" s="15" t="s">
        <v>141</v>
      </c>
      <c r="D471" s="39">
        <v>20194.650000000001</v>
      </c>
      <c r="E471" s="73">
        <f t="shared" si="36"/>
        <v>43595.146999999997</v>
      </c>
      <c r="F471" s="77"/>
      <c r="G471" s="75">
        <f t="shared" si="37"/>
        <v>46</v>
      </c>
      <c r="H471" s="14" t="s">
        <v>91</v>
      </c>
      <c r="I471" s="15" t="s">
        <v>141</v>
      </c>
      <c r="J471" s="39">
        <v>20077.599999999999</v>
      </c>
      <c r="K471" s="69">
        <f t="shared" si="38"/>
        <v>44814.046999999999</v>
      </c>
      <c r="L471" s="70">
        <f t="shared" si="34"/>
        <v>-117.050000000003</v>
      </c>
      <c r="M471" s="62"/>
      <c r="N471" s="14" t="s">
        <v>86</v>
      </c>
      <c r="O471" s="15" t="s">
        <v>139</v>
      </c>
      <c r="P471" s="1">
        <v>379.9</v>
      </c>
    </row>
    <row r="472" spans="1:16" ht="15.75" hidden="1">
      <c r="A472" s="71">
        <f t="shared" si="35"/>
        <v>47</v>
      </c>
      <c r="B472" s="14" t="s">
        <v>92</v>
      </c>
      <c r="C472" s="15" t="s">
        <v>141</v>
      </c>
      <c r="D472" s="76"/>
      <c r="E472" s="73">
        <f t="shared" si="36"/>
        <v>43595.146999999997</v>
      </c>
      <c r="F472" s="77"/>
      <c r="G472" s="75">
        <f t="shared" si="37"/>
        <v>47</v>
      </c>
      <c r="H472" s="14" t="s">
        <v>92</v>
      </c>
      <c r="I472" s="15" t="s">
        <v>141</v>
      </c>
      <c r="J472" s="76"/>
      <c r="K472" s="69">
        <f t="shared" si="38"/>
        <v>44814.046999999999</v>
      </c>
      <c r="L472" s="70">
        <f t="shared" si="34"/>
        <v>0</v>
      </c>
      <c r="M472" s="62"/>
      <c r="N472" s="43" t="s">
        <v>87</v>
      </c>
      <c r="O472" s="23" t="s">
        <v>139</v>
      </c>
      <c r="P472" s="1">
        <v>-2276.14</v>
      </c>
    </row>
    <row r="473" spans="1:16" ht="15.75" hidden="1">
      <c r="A473" s="71">
        <f t="shared" si="35"/>
        <v>48</v>
      </c>
      <c r="B473" s="51" t="s">
        <v>94</v>
      </c>
      <c r="C473" s="52" t="s">
        <v>141</v>
      </c>
      <c r="D473" s="76"/>
      <c r="E473" s="73">
        <f t="shared" si="36"/>
        <v>43595.146999999997</v>
      </c>
      <c r="F473" s="77"/>
      <c r="G473" s="75">
        <f t="shared" si="37"/>
        <v>48</v>
      </c>
      <c r="H473" s="51" t="s">
        <v>94</v>
      </c>
      <c r="I473" s="52" t="s">
        <v>141</v>
      </c>
      <c r="J473" s="76"/>
      <c r="K473" s="69">
        <f t="shared" si="38"/>
        <v>44814.046999999999</v>
      </c>
      <c r="L473" s="70">
        <f t="shared" si="34"/>
        <v>0</v>
      </c>
      <c r="M473" s="62"/>
      <c r="N473" s="25" t="s">
        <v>88</v>
      </c>
      <c r="O473" s="26" t="s">
        <v>141</v>
      </c>
      <c r="P473" s="1">
        <v>-7879.7</v>
      </c>
    </row>
    <row r="474" spans="1:16" ht="15.75" hidden="1">
      <c r="A474" s="71">
        <f t="shared" si="35"/>
        <v>49</v>
      </c>
      <c r="B474" s="83" t="s">
        <v>95</v>
      </c>
      <c r="C474" s="49" t="s">
        <v>106</v>
      </c>
      <c r="D474" s="39">
        <v>683.06</v>
      </c>
      <c r="E474" s="73">
        <f t="shared" si="36"/>
        <v>44278.207000000002</v>
      </c>
      <c r="F474" s="77"/>
      <c r="G474" s="75">
        <f t="shared" si="37"/>
        <v>49</v>
      </c>
      <c r="H474" s="50" t="s">
        <v>95</v>
      </c>
      <c r="I474" s="49" t="s">
        <v>106</v>
      </c>
      <c r="J474" s="39">
        <v>605.16</v>
      </c>
      <c r="K474" s="69">
        <f t="shared" si="38"/>
        <v>45419.207000000002</v>
      </c>
      <c r="L474" s="70">
        <f t="shared" si="34"/>
        <v>-77.900000000000006</v>
      </c>
      <c r="M474" s="62"/>
      <c r="N474" s="14" t="s">
        <v>89</v>
      </c>
      <c r="O474" s="15" t="s">
        <v>141</v>
      </c>
      <c r="P474" s="1">
        <v>-472.5</v>
      </c>
    </row>
    <row r="475" spans="1:16" ht="15.75" hidden="1">
      <c r="A475" s="71">
        <f t="shared" si="35"/>
        <v>50</v>
      </c>
      <c r="B475" s="84" t="s">
        <v>96</v>
      </c>
      <c r="C475" s="15" t="s">
        <v>106</v>
      </c>
      <c r="D475" s="39">
        <v>6418.68</v>
      </c>
      <c r="E475" s="73">
        <f t="shared" si="36"/>
        <v>50696.887000000002</v>
      </c>
      <c r="F475" s="77"/>
      <c r="G475" s="75">
        <f t="shared" si="37"/>
        <v>50</v>
      </c>
      <c r="H475" s="14" t="s">
        <v>96</v>
      </c>
      <c r="I475" s="15" t="s">
        <v>106</v>
      </c>
      <c r="J475" s="39">
        <v>6695.88</v>
      </c>
      <c r="K475" s="69">
        <f t="shared" si="38"/>
        <v>52115.087</v>
      </c>
      <c r="L475" s="70">
        <f t="shared" si="34"/>
        <v>277.2</v>
      </c>
      <c r="M475" s="62">
        <f>J478-D478</f>
        <v>1488.8</v>
      </c>
      <c r="N475" s="14" t="s">
        <v>90</v>
      </c>
      <c r="O475" s="15" t="s">
        <v>141</v>
      </c>
      <c r="P475" s="1">
        <v>826.1</v>
      </c>
    </row>
    <row r="476" spans="1:16" ht="15.75" hidden="1">
      <c r="A476" s="71">
        <f t="shared" si="35"/>
        <v>51</v>
      </c>
      <c r="B476" s="85" t="s">
        <v>116</v>
      </c>
      <c r="C476" s="23" t="s">
        <v>106</v>
      </c>
      <c r="D476" s="39">
        <v>435.3</v>
      </c>
      <c r="E476" s="73">
        <f t="shared" si="36"/>
        <v>51132.186999999998</v>
      </c>
      <c r="F476" s="77"/>
      <c r="G476" s="75">
        <f t="shared" si="37"/>
        <v>51</v>
      </c>
      <c r="H476" s="22" t="s">
        <v>116</v>
      </c>
      <c r="I476" s="23" t="s">
        <v>106</v>
      </c>
      <c r="J476" s="39">
        <v>505.9</v>
      </c>
      <c r="K476" s="69">
        <f t="shared" si="38"/>
        <v>52620.987000000001</v>
      </c>
      <c r="L476" s="70">
        <f t="shared" si="34"/>
        <v>70.599999999999994</v>
      </c>
      <c r="M476" s="86"/>
      <c r="N476" s="14" t="s">
        <v>91</v>
      </c>
      <c r="O476" s="15" t="s">
        <v>141</v>
      </c>
      <c r="P476" s="1">
        <v>20077.599999999999</v>
      </c>
    </row>
    <row r="477" spans="1:16" ht="15.75" hidden="1">
      <c r="A477" s="71">
        <f t="shared" si="35"/>
        <v>52</v>
      </c>
      <c r="B477" s="87" t="s">
        <v>120</v>
      </c>
      <c r="C477" s="23" t="s">
        <v>106</v>
      </c>
      <c r="D477" s="88"/>
      <c r="E477" s="73">
        <f t="shared" si="36"/>
        <v>51132.186999999998</v>
      </c>
      <c r="F477" s="89"/>
      <c r="G477" s="75">
        <f t="shared" si="37"/>
        <v>52</v>
      </c>
      <c r="H477" s="90" t="s">
        <v>120</v>
      </c>
      <c r="I477" s="23" t="s">
        <v>106</v>
      </c>
      <c r="J477" s="88"/>
      <c r="K477" s="69">
        <f t="shared" si="38"/>
        <v>52620.987000000001</v>
      </c>
      <c r="L477" s="70">
        <f t="shared" si="34"/>
        <v>0</v>
      </c>
      <c r="M477" s="86"/>
      <c r="N477" s="14" t="s">
        <v>92</v>
      </c>
      <c r="O477" s="15" t="s">
        <v>141</v>
      </c>
      <c r="P477" s="1">
        <v>-2557.9499999999998</v>
      </c>
    </row>
    <row r="478" spans="1:16" ht="15.75" hidden="1">
      <c r="A478" s="8"/>
      <c r="B478" s="91" t="s">
        <v>102</v>
      </c>
      <c r="C478" s="92"/>
      <c r="D478" s="93">
        <f>SUM(D426:D477)</f>
        <v>51132.186999999998</v>
      </c>
      <c r="E478" s="59">
        <f>E477</f>
        <v>51132.186999999998</v>
      </c>
      <c r="F478" s="94"/>
      <c r="G478" s="95"/>
      <c r="H478" s="91" t="s">
        <v>102</v>
      </c>
      <c r="I478" s="60"/>
      <c r="J478" s="93">
        <f>SUM(J426:J477)</f>
        <v>52620.987000000001</v>
      </c>
      <c r="K478" s="59">
        <f>K477</f>
        <v>52620.987000000001</v>
      </c>
      <c r="L478" s="59">
        <f>K478-E478</f>
        <v>1488.8</v>
      </c>
      <c r="M478" s="62">
        <f>SUM(J426:J477)</f>
        <v>52620.987000000001</v>
      </c>
      <c r="N478" s="14" t="s">
        <v>93</v>
      </c>
      <c r="O478" s="15" t="s">
        <v>141</v>
      </c>
      <c r="P478" s="1">
        <v>-5776</v>
      </c>
    </row>
    <row r="479" spans="1:16" ht="15.75" hidden="1">
      <c r="M479" s="62">
        <f>SUM(D426:D477)</f>
        <v>51132.186999999998</v>
      </c>
      <c r="N479" s="51" t="s">
        <v>94</v>
      </c>
      <c r="O479" s="52" t="s">
        <v>141</v>
      </c>
      <c r="P479" s="1">
        <v>-8184.93</v>
      </c>
    </row>
    <row r="480" spans="1:16" ht="15.75" hidden="1">
      <c r="M480" s="62">
        <f>M478-M479</f>
        <v>1488.8</v>
      </c>
      <c r="N480" s="50" t="s">
        <v>95</v>
      </c>
      <c r="O480" s="49" t="s">
        <v>106</v>
      </c>
      <c r="P480" s="1">
        <v>605.16</v>
      </c>
    </row>
    <row r="481" spans="1:16" ht="15.75" hidden="1">
      <c r="A481" s="127" t="s">
        <v>149</v>
      </c>
      <c r="B481" s="128"/>
      <c r="C481" s="128"/>
      <c r="D481" s="128"/>
      <c r="E481" s="129"/>
      <c r="F481" s="12"/>
      <c r="G481" s="127" t="s">
        <v>152</v>
      </c>
      <c r="H481" s="128"/>
      <c r="I481" s="128"/>
      <c r="J481" s="128"/>
      <c r="K481" s="129"/>
      <c r="L481" s="130" t="s">
        <v>153</v>
      </c>
      <c r="M481" s="8"/>
      <c r="N481" s="14" t="s">
        <v>96</v>
      </c>
      <c r="O481" s="15" t="s">
        <v>106</v>
      </c>
      <c r="P481" s="1">
        <v>6695.88</v>
      </c>
    </row>
    <row r="482" spans="1:16" ht="31.5" hidden="1">
      <c r="A482" s="18" t="s">
        <v>112</v>
      </c>
      <c r="B482" s="19" t="s">
        <v>0</v>
      </c>
      <c r="C482" s="20" t="s">
        <v>113</v>
      </c>
      <c r="D482" s="20" t="s">
        <v>114</v>
      </c>
      <c r="E482" s="20" t="s">
        <v>115</v>
      </c>
      <c r="F482" s="21"/>
      <c r="G482" s="12" t="s">
        <v>112</v>
      </c>
      <c r="H482" s="12" t="s">
        <v>0</v>
      </c>
      <c r="I482" s="12" t="s">
        <v>113</v>
      </c>
      <c r="J482" s="12" t="s">
        <v>114</v>
      </c>
      <c r="K482" s="12" t="s">
        <v>115</v>
      </c>
      <c r="L482" s="131"/>
      <c r="M482" s="8"/>
      <c r="N482" s="22" t="s">
        <v>116</v>
      </c>
      <c r="O482" s="23" t="s">
        <v>106</v>
      </c>
      <c r="P482" s="1">
        <v>505.9</v>
      </c>
    </row>
    <row r="483" spans="1:16" ht="15.75" hidden="1">
      <c r="A483" s="28">
        <v>1</v>
      </c>
      <c r="B483" s="25" t="s">
        <v>1</v>
      </c>
      <c r="C483" s="26" t="s">
        <v>119</v>
      </c>
      <c r="D483" s="32">
        <v>-4433.29</v>
      </c>
      <c r="E483" s="30">
        <f>D483</f>
        <v>-4433.29</v>
      </c>
      <c r="F483" s="8"/>
      <c r="G483" s="31">
        <v>1</v>
      </c>
      <c r="H483" s="25" t="s">
        <v>1</v>
      </c>
      <c r="I483" s="26" t="s">
        <v>119</v>
      </c>
      <c r="J483" s="32">
        <v>-3579.87</v>
      </c>
      <c r="K483" s="30">
        <f>J483</f>
        <v>-3579.87</v>
      </c>
      <c r="L483" s="33">
        <f t="shared" ref="L483:L543" si="39">J483-D483</f>
        <v>853.42</v>
      </c>
      <c r="M483" s="8"/>
      <c r="N483" s="8" t="s">
        <v>120</v>
      </c>
      <c r="O483" s="23" t="s">
        <v>106</v>
      </c>
      <c r="P483" s="1">
        <v>-2557.5</v>
      </c>
    </row>
    <row r="484" spans="1:16" ht="15.75" hidden="1">
      <c r="A484" s="28">
        <v>2</v>
      </c>
      <c r="B484" s="14" t="s">
        <v>2</v>
      </c>
      <c r="C484" s="15" t="s">
        <v>119</v>
      </c>
      <c r="D484" s="39">
        <v>-1870</v>
      </c>
      <c r="E484" s="33">
        <f>E483+D484</f>
        <v>-6303.29</v>
      </c>
      <c r="F484" s="8"/>
      <c r="G484" s="38">
        <v>2</v>
      </c>
      <c r="H484" s="14" t="s">
        <v>2</v>
      </c>
      <c r="I484" s="15" t="s">
        <v>119</v>
      </c>
      <c r="J484" s="39">
        <v>-1847.7</v>
      </c>
      <c r="K484" s="33">
        <f>K483+J484</f>
        <v>-5427.57</v>
      </c>
      <c r="L484" s="33">
        <f t="shared" si="39"/>
        <v>22.3</v>
      </c>
    </row>
    <row r="485" spans="1:16" ht="15.75" hidden="1">
      <c r="A485" s="28">
        <v>3</v>
      </c>
      <c r="B485" s="14" t="s">
        <v>3</v>
      </c>
      <c r="C485" s="15" t="s">
        <v>119</v>
      </c>
      <c r="D485" s="39">
        <v>-421.15</v>
      </c>
      <c r="E485" s="33">
        <f t="shared" ref="E485:E548" si="40">E484+D485</f>
        <v>-6724.44</v>
      </c>
      <c r="F485" s="8"/>
      <c r="G485" s="38">
        <v>3</v>
      </c>
      <c r="H485" s="14" t="s">
        <v>3</v>
      </c>
      <c r="I485" s="15" t="s">
        <v>119</v>
      </c>
      <c r="J485" s="39">
        <v>-583.35</v>
      </c>
      <c r="K485" s="33">
        <f t="shared" ref="K485:K548" si="41">K484+J485</f>
        <v>-6010.92</v>
      </c>
      <c r="L485" s="33">
        <f t="shared" si="39"/>
        <v>-162.19999999999999</v>
      </c>
    </row>
    <row r="486" spans="1:16" ht="15.75" hidden="1">
      <c r="A486" s="28">
        <v>4</v>
      </c>
      <c r="B486" s="14" t="s">
        <v>4</v>
      </c>
      <c r="C486" s="15" t="s">
        <v>119</v>
      </c>
      <c r="D486" s="39">
        <v>-11267.16</v>
      </c>
      <c r="E486" s="33">
        <f t="shared" si="40"/>
        <v>-17991.599999999999</v>
      </c>
      <c r="F486" s="8"/>
      <c r="G486" s="38">
        <v>4</v>
      </c>
      <c r="H486" s="14" t="s">
        <v>4</v>
      </c>
      <c r="I486" s="15" t="s">
        <v>119</v>
      </c>
      <c r="J486" s="39">
        <v>-11340.16</v>
      </c>
      <c r="K486" s="33">
        <f t="shared" si="41"/>
        <v>-17351.080000000002</v>
      </c>
      <c r="L486" s="33">
        <f t="shared" si="39"/>
        <v>-73</v>
      </c>
    </row>
    <row r="487" spans="1:16" ht="15.75" hidden="1">
      <c r="A487" s="28">
        <v>5</v>
      </c>
      <c r="B487" s="14" t="s">
        <v>5</v>
      </c>
      <c r="C487" s="15" t="s">
        <v>119</v>
      </c>
      <c r="D487" s="39"/>
      <c r="E487" s="33">
        <f t="shared" si="40"/>
        <v>-17991.599999999999</v>
      </c>
      <c r="F487" s="8"/>
      <c r="G487" s="38">
        <v>5</v>
      </c>
      <c r="H487" s="14" t="s">
        <v>5</v>
      </c>
      <c r="I487" s="15" t="s">
        <v>119</v>
      </c>
      <c r="J487" s="39"/>
      <c r="K487" s="33">
        <f t="shared" si="41"/>
        <v>-17351.080000000002</v>
      </c>
      <c r="L487" s="33"/>
    </row>
    <row r="488" spans="1:16" ht="15.75" hidden="1">
      <c r="A488" s="28">
        <v>6</v>
      </c>
      <c r="B488" s="14" t="s">
        <v>6</v>
      </c>
      <c r="C488" s="15" t="s">
        <v>119</v>
      </c>
      <c r="D488" s="39">
        <v>-3201.9</v>
      </c>
      <c r="E488" s="33">
        <f t="shared" si="40"/>
        <v>-21193.5</v>
      </c>
      <c r="F488" s="8"/>
      <c r="G488" s="38">
        <v>6</v>
      </c>
      <c r="H488" s="14" t="s">
        <v>6</v>
      </c>
      <c r="I488" s="15" t="s">
        <v>119</v>
      </c>
      <c r="J488" s="39">
        <v>-2130.8000000000002</v>
      </c>
      <c r="K488" s="33">
        <f t="shared" si="41"/>
        <v>-19481.88</v>
      </c>
      <c r="L488" s="33">
        <f t="shared" si="39"/>
        <v>1071.0999999999999</v>
      </c>
    </row>
    <row r="489" spans="1:16" ht="15.75" hidden="1">
      <c r="A489" s="28">
        <v>7</v>
      </c>
      <c r="B489" s="14" t="s">
        <v>7</v>
      </c>
      <c r="C489" s="15" t="s">
        <v>119</v>
      </c>
      <c r="D489" s="39">
        <v>-313.3</v>
      </c>
      <c r="E489" s="33">
        <f t="shared" si="40"/>
        <v>-21506.799999999999</v>
      </c>
      <c r="F489" s="8"/>
      <c r="G489" s="38">
        <v>7</v>
      </c>
      <c r="H489" s="14" t="s">
        <v>7</v>
      </c>
      <c r="I489" s="15" t="s">
        <v>119</v>
      </c>
      <c r="J489" s="39">
        <v>-257.39999999999998</v>
      </c>
      <c r="K489" s="33">
        <f t="shared" si="41"/>
        <v>-19739.28</v>
      </c>
      <c r="L489" s="33">
        <f t="shared" si="39"/>
        <v>55.9</v>
      </c>
    </row>
    <row r="490" spans="1:16" ht="15.75" hidden="1">
      <c r="A490" s="28">
        <v>8</v>
      </c>
      <c r="B490" s="14" t="s">
        <v>8</v>
      </c>
      <c r="C490" s="15" t="s">
        <v>119</v>
      </c>
      <c r="D490" s="39"/>
      <c r="E490" s="33">
        <f t="shared" si="40"/>
        <v>-21506.799999999999</v>
      </c>
      <c r="F490" s="8"/>
      <c r="G490" s="38">
        <v>8</v>
      </c>
      <c r="H490" s="14" t="s">
        <v>8</v>
      </c>
      <c r="I490" s="15" t="s">
        <v>119</v>
      </c>
      <c r="J490" s="39">
        <v>-159.5</v>
      </c>
      <c r="K490" s="33">
        <f t="shared" si="41"/>
        <v>-19898.78</v>
      </c>
      <c r="L490" s="33">
        <f t="shared" si="39"/>
        <v>-159.5</v>
      </c>
    </row>
    <row r="491" spans="1:16" ht="15.75" hidden="1">
      <c r="A491" s="28">
        <v>9</v>
      </c>
      <c r="B491" s="14" t="s">
        <v>9</v>
      </c>
      <c r="C491" s="15" t="s">
        <v>119</v>
      </c>
      <c r="D491" s="39">
        <v>-3234.3</v>
      </c>
      <c r="E491" s="33">
        <f t="shared" si="40"/>
        <v>-24741.1</v>
      </c>
      <c r="F491" s="8"/>
      <c r="G491" s="38">
        <v>9</v>
      </c>
      <c r="H491" s="14" t="s">
        <v>9</v>
      </c>
      <c r="I491" s="15" t="s">
        <v>119</v>
      </c>
      <c r="J491" s="39">
        <v>-3339.2</v>
      </c>
      <c r="K491" s="33">
        <f t="shared" si="41"/>
        <v>-23237.98</v>
      </c>
      <c r="L491" s="33">
        <f t="shared" si="39"/>
        <v>-104.9</v>
      </c>
    </row>
    <row r="492" spans="1:16" ht="15.75" hidden="1">
      <c r="A492" s="28">
        <v>10</v>
      </c>
      <c r="B492" s="14" t="s">
        <v>10</v>
      </c>
      <c r="C492" s="15" t="s">
        <v>119</v>
      </c>
      <c r="D492" s="39">
        <v>-162.6</v>
      </c>
      <c r="E492" s="33">
        <f t="shared" si="40"/>
        <v>-24903.7</v>
      </c>
      <c r="F492" s="8"/>
      <c r="G492" s="38">
        <v>10</v>
      </c>
      <c r="H492" s="14" t="s">
        <v>10</v>
      </c>
      <c r="I492" s="15" t="s">
        <v>119</v>
      </c>
      <c r="J492" s="39">
        <v>-791.39</v>
      </c>
      <c r="K492" s="33">
        <f t="shared" si="41"/>
        <v>-24029.37</v>
      </c>
      <c r="L492" s="33">
        <f t="shared" si="39"/>
        <v>-628.79</v>
      </c>
    </row>
    <row r="493" spans="1:16" ht="15.75" hidden="1">
      <c r="A493" s="28">
        <v>11</v>
      </c>
      <c r="B493" s="43" t="s">
        <v>11</v>
      </c>
      <c r="C493" s="23" t="s">
        <v>119</v>
      </c>
      <c r="D493" s="39"/>
      <c r="E493" s="44">
        <f t="shared" si="40"/>
        <v>-24903.7</v>
      </c>
      <c r="F493" s="8"/>
      <c r="G493" s="38">
        <v>11</v>
      </c>
      <c r="H493" s="43" t="s">
        <v>11</v>
      </c>
      <c r="I493" s="23" t="s">
        <v>119</v>
      </c>
      <c r="J493" s="39"/>
      <c r="K493" s="33">
        <f t="shared" si="41"/>
        <v>-24029.37</v>
      </c>
      <c r="L493" s="33"/>
    </row>
    <row r="494" spans="1:16" ht="15.75" hidden="1">
      <c r="A494" s="28">
        <v>12</v>
      </c>
      <c r="B494" s="25" t="s">
        <v>12</v>
      </c>
      <c r="C494" s="26" t="s">
        <v>123</v>
      </c>
      <c r="D494" s="39">
        <v>-25250.6</v>
      </c>
      <c r="E494" s="30">
        <f t="shared" si="40"/>
        <v>-50154.3</v>
      </c>
      <c r="F494" s="8"/>
      <c r="G494" s="38">
        <v>12</v>
      </c>
      <c r="H494" s="25" t="s">
        <v>12</v>
      </c>
      <c r="I494" s="26" t="s">
        <v>123</v>
      </c>
      <c r="J494" s="39">
        <v>-25187.9</v>
      </c>
      <c r="K494" s="33">
        <f t="shared" si="41"/>
        <v>-49217.27</v>
      </c>
      <c r="L494" s="33">
        <f t="shared" si="39"/>
        <v>62.699999999997097</v>
      </c>
    </row>
    <row r="495" spans="1:16" ht="15.75" hidden="1">
      <c r="A495" s="28">
        <v>13</v>
      </c>
      <c r="B495" s="14" t="s">
        <v>13</v>
      </c>
      <c r="C495" s="15" t="s">
        <v>123</v>
      </c>
      <c r="D495" s="39">
        <v>-5408.6</v>
      </c>
      <c r="E495" s="33">
        <f t="shared" si="40"/>
        <v>-55562.9</v>
      </c>
      <c r="F495" s="8"/>
      <c r="G495" s="38">
        <v>13</v>
      </c>
      <c r="H495" s="14" t="s">
        <v>13</v>
      </c>
      <c r="I495" s="15" t="s">
        <v>123</v>
      </c>
      <c r="J495" s="39">
        <v>-5361.9</v>
      </c>
      <c r="K495" s="33">
        <f t="shared" si="41"/>
        <v>-54579.17</v>
      </c>
      <c r="L495" s="33">
        <f t="shared" si="39"/>
        <v>46.700000000000699</v>
      </c>
    </row>
    <row r="496" spans="1:16" ht="15.75" hidden="1">
      <c r="A496" s="28">
        <v>14</v>
      </c>
      <c r="B496" s="14" t="s">
        <v>14</v>
      </c>
      <c r="C496" s="15" t="s">
        <v>123</v>
      </c>
      <c r="D496" s="39">
        <v>-2144.6</v>
      </c>
      <c r="E496" s="33">
        <f t="shared" si="40"/>
        <v>-57707.5</v>
      </c>
      <c r="F496" s="8"/>
      <c r="G496" s="38">
        <v>14</v>
      </c>
      <c r="H496" s="14" t="s">
        <v>14</v>
      </c>
      <c r="I496" s="15" t="s">
        <v>123</v>
      </c>
      <c r="J496" s="39">
        <v>-1741.3</v>
      </c>
      <c r="K496" s="33">
        <f t="shared" si="41"/>
        <v>-56320.47</v>
      </c>
      <c r="L496" s="33">
        <f t="shared" si="39"/>
        <v>403.3</v>
      </c>
    </row>
    <row r="497" spans="1:12" ht="15.75" hidden="1">
      <c r="A497" s="28">
        <v>15</v>
      </c>
      <c r="B497" s="14" t="s">
        <v>15</v>
      </c>
      <c r="C497" s="15" t="s">
        <v>123</v>
      </c>
      <c r="D497" s="39">
        <v>-39093.1</v>
      </c>
      <c r="E497" s="33">
        <f t="shared" si="40"/>
        <v>-96800.6</v>
      </c>
      <c r="F497" s="8"/>
      <c r="G497" s="38">
        <v>15</v>
      </c>
      <c r="H497" s="14" t="s">
        <v>15</v>
      </c>
      <c r="I497" s="15" t="s">
        <v>123</v>
      </c>
      <c r="J497" s="39">
        <v>-39240.699999999997</v>
      </c>
      <c r="K497" s="33">
        <f t="shared" si="41"/>
        <v>-95561.17</v>
      </c>
      <c r="L497" s="33">
        <f t="shared" si="39"/>
        <v>-147.599999999999</v>
      </c>
    </row>
    <row r="498" spans="1:12" ht="15.75" hidden="1">
      <c r="A498" s="28">
        <v>16</v>
      </c>
      <c r="B498" s="14" t="s">
        <v>16</v>
      </c>
      <c r="C498" s="15" t="s">
        <v>123</v>
      </c>
      <c r="D498" s="39">
        <v>-5503.11</v>
      </c>
      <c r="E498" s="33">
        <f t="shared" si="40"/>
        <v>-102303.71</v>
      </c>
      <c r="F498" s="8"/>
      <c r="G498" s="38">
        <v>16</v>
      </c>
      <c r="H498" s="14" t="s">
        <v>16</v>
      </c>
      <c r="I498" s="15" t="s">
        <v>123</v>
      </c>
      <c r="J498" s="39">
        <v>-5666.81</v>
      </c>
      <c r="K498" s="33">
        <f t="shared" si="41"/>
        <v>-101227.98</v>
      </c>
      <c r="L498" s="33">
        <f t="shared" si="39"/>
        <v>-163.70000000000101</v>
      </c>
    </row>
    <row r="499" spans="1:12" ht="15.75" hidden="1">
      <c r="A499" s="28">
        <v>17</v>
      </c>
      <c r="B499" s="14" t="s">
        <v>17</v>
      </c>
      <c r="C499" s="15" t="s">
        <v>123</v>
      </c>
      <c r="D499" s="39"/>
      <c r="E499" s="33">
        <f t="shared" si="40"/>
        <v>-102303.71</v>
      </c>
      <c r="F499" s="8"/>
      <c r="G499" s="38">
        <v>17</v>
      </c>
      <c r="H499" s="14" t="s">
        <v>17</v>
      </c>
      <c r="I499" s="15" t="s">
        <v>123</v>
      </c>
      <c r="J499" s="39"/>
      <c r="K499" s="33">
        <f t="shared" si="41"/>
        <v>-101227.98</v>
      </c>
      <c r="L499" s="33"/>
    </row>
    <row r="500" spans="1:12" ht="15.75" hidden="1">
      <c r="A500" s="28">
        <v>18</v>
      </c>
      <c r="B500" s="45" t="s">
        <v>125</v>
      </c>
      <c r="C500" s="46" t="s">
        <v>123</v>
      </c>
      <c r="D500" s="39">
        <v>-30362.3</v>
      </c>
      <c r="E500" s="33">
        <f t="shared" si="40"/>
        <v>-132666.01</v>
      </c>
      <c r="F500" s="8"/>
      <c r="G500" s="38">
        <v>18</v>
      </c>
      <c r="H500" s="45" t="s">
        <v>124</v>
      </c>
      <c r="I500" s="46" t="s">
        <v>123</v>
      </c>
      <c r="J500" s="39">
        <v>-29787.200000000001</v>
      </c>
      <c r="K500" s="33">
        <f t="shared" si="41"/>
        <v>-131015.18</v>
      </c>
      <c r="L500" s="33">
        <f t="shared" si="39"/>
        <v>575.099999999999</v>
      </c>
    </row>
    <row r="501" spans="1:12" ht="15.75" hidden="1">
      <c r="A501" s="28">
        <v>19</v>
      </c>
      <c r="B501" s="45" t="s">
        <v>19</v>
      </c>
      <c r="C501" s="46" t="s">
        <v>123</v>
      </c>
      <c r="D501" s="39">
        <v>-28518.19</v>
      </c>
      <c r="E501" s="33">
        <f t="shared" si="40"/>
        <v>-161184.20000000001</v>
      </c>
      <c r="F501" s="8"/>
      <c r="G501" s="38">
        <v>19</v>
      </c>
      <c r="H501" s="14" t="s">
        <v>19</v>
      </c>
      <c r="I501" s="15" t="s">
        <v>123</v>
      </c>
      <c r="J501" s="39">
        <v>-28629.99</v>
      </c>
      <c r="K501" s="33">
        <f t="shared" si="41"/>
        <v>-159645.17000000001</v>
      </c>
      <c r="L501" s="33">
        <f t="shared" si="39"/>
        <v>-111.800000000003</v>
      </c>
    </row>
    <row r="502" spans="1:12" ht="15.75" hidden="1">
      <c r="A502" s="28">
        <v>20</v>
      </c>
      <c r="B502" s="14" t="s">
        <v>20</v>
      </c>
      <c r="C502" s="15" t="s">
        <v>123</v>
      </c>
      <c r="D502" s="39">
        <v>-6671.96</v>
      </c>
      <c r="E502" s="33">
        <f t="shared" si="40"/>
        <v>-167856.16</v>
      </c>
      <c r="F502" s="8"/>
      <c r="G502" s="38">
        <v>20</v>
      </c>
      <c r="H502" s="14" t="s">
        <v>20</v>
      </c>
      <c r="I502" s="15" t="s">
        <v>123</v>
      </c>
      <c r="J502" s="39">
        <v>-7020.24</v>
      </c>
      <c r="K502" s="33">
        <f t="shared" si="41"/>
        <v>-166665.41</v>
      </c>
      <c r="L502" s="33">
        <f t="shared" si="39"/>
        <v>-348.28</v>
      </c>
    </row>
    <row r="503" spans="1:12" ht="15.75" hidden="1">
      <c r="A503" s="28">
        <v>21</v>
      </c>
      <c r="B503" s="43" t="s">
        <v>21</v>
      </c>
      <c r="C503" s="23" t="s">
        <v>123</v>
      </c>
      <c r="D503" s="39">
        <v>-7909.2</v>
      </c>
      <c r="E503" s="44">
        <f t="shared" si="40"/>
        <v>-175765.36</v>
      </c>
      <c r="F503" s="8"/>
      <c r="G503" s="38">
        <v>21</v>
      </c>
      <c r="H503" s="43" t="s">
        <v>21</v>
      </c>
      <c r="I503" s="23" t="s">
        <v>123</v>
      </c>
      <c r="J503" s="39">
        <v>-7814.6</v>
      </c>
      <c r="K503" s="33">
        <f t="shared" si="41"/>
        <v>-174480.01</v>
      </c>
      <c r="L503" s="33">
        <f t="shared" si="39"/>
        <v>94.599999999999497</v>
      </c>
    </row>
    <row r="504" spans="1:12" ht="15.75" hidden="1">
      <c r="A504" s="28">
        <v>22</v>
      </c>
      <c r="B504" s="25" t="s">
        <v>22</v>
      </c>
      <c r="C504" s="26" t="s">
        <v>126</v>
      </c>
      <c r="D504" s="39"/>
      <c r="E504" s="30">
        <f t="shared" si="40"/>
        <v>-175765.36</v>
      </c>
      <c r="F504" s="8"/>
      <c r="G504" s="38">
        <v>22</v>
      </c>
      <c r="H504" s="25" t="s">
        <v>22</v>
      </c>
      <c r="I504" s="26" t="s">
        <v>126</v>
      </c>
      <c r="J504" s="39"/>
      <c r="K504" s="33">
        <f t="shared" si="41"/>
        <v>-174480.01</v>
      </c>
      <c r="L504" s="33"/>
    </row>
    <row r="505" spans="1:12" ht="15.75" hidden="1">
      <c r="A505" s="28">
        <v>23</v>
      </c>
      <c r="B505" s="14" t="s">
        <v>23</v>
      </c>
      <c r="C505" s="15" t="s">
        <v>126</v>
      </c>
      <c r="D505" s="39">
        <v>-4013.15</v>
      </c>
      <c r="E505" s="33">
        <f t="shared" si="40"/>
        <v>-179778.51</v>
      </c>
      <c r="F505" s="8"/>
      <c r="G505" s="38">
        <v>23</v>
      </c>
      <c r="H505" s="14" t="s">
        <v>23</v>
      </c>
      <c r="I505" s="15" t="s">
        <v>126</v>
      </c>
      <c r="J505" s="39">
        <v>-4253.3500000000004</v>
      </c>
      <c r="K505" s="33">
        <f t="shared" si="41"/>
        <v>-178733.36</v>
      </c>
      <c r="L505" s="33">
        <f t="shared" si="39"/>
        <v>-240.2</v>
      </c>
    </row>
    <row r="506" spans="1:12" ht="15.75" hidden="1">
      <c r="A506" s="28">
        <v>24</v>
      </c>
      <c r="B506" s="14" t="s">
        <v>24</v>
      </c>
      <c r="C506" s="15" t="s">
        <v>126</v>
      </c>
      <c r="D506" s="39">
        <v>-975.33</v>
      </c>
      <c r="E506" s="33">
        <f t="shared" si="40"/>
        <v>-180753.84</v>
      </c>
      <c r="F506" s="8"/>
      <c r="G506" s="38">
        <v>24</v>
      </c>
      <c r="H506" s="14" t="s">
        <v>24</v>
      </c>
      <c r="I506" s="15" t="s">
        <v>126</v>
      </c>
      <c r="J506" s="39">
        <v>-929.5</v>
      </c>
      <c r="K506" s="33">
        <f t="shared" si="41"/>
        <v>-179662.86</v>
      </c>
      <c r="L506" s="33">
        <f t="shared" si="39"/>
        <v>45.83</v>
      </c>
    </row>
    <row r="507" spans="1:12" ht="15.75" hidden="1">
      <c r="A507" s="28">
        <v>25</v>
      </c>
      <c r="B507" s="14" t="s">
        <v>128</v>
      </c>
      <c r="C507" s="15" t="s">
        <v>126</v>
      </c>
      <c r="D507" s="39"/>
      <c r="E507" s="33">
        <f t="shared" si="40"/>
        <v>-180753.84</v>
      </c>
      <c r="F507" s="8"/>
      <c r="G507" s="38">
        <v>25</v>
      </c>
      <c r="H507" s="14" t="s">
        <v>128</v>
      </c>
      <c r="I507" s="15" t="s">
        <v>126</v>
      </c>
      <c r="J507" s="39"/>
      <c r="K507" s="33">
        <f t="shared" si="41"/>
        <v>-179662.86</v>
      </c>
      <c r="L507" s="33"/>
    </row>
    <row r="508" spans="1:12" ht="15.75" hidden="1">
      <c r="A508" s="28">
        <v>26</v>
      </c>
      <c r="B508" s="47" t="s">
        <v>127</v>
      </c>
      <c r="C508" s="15" t="s">
        <v>126</v>
      </c>
      <c r="D508" s="39"/>
      <c r="E508" s="33">
        <f t="shared" si="40"/>
        <v>-180753.84</v>
      </c>
      <c r="F508" s="8"/>
      <c r="G508" s="38">
        <v>26</v>
      </c>
      <c r="H508" s="47" t="s">
        <v>127</v>
      </c>
      <c r="I508" s="15" t="s">
        <v>126</v>
      </c>
      <c r="J508" s="39"/>
      <c r="K508" s="33">
        <f t="shared" si="41"/>
        <v>-179662.86</v>
      </c>
      <c r="L508" s="33"/>
    </row>
    <row r="509" spans="1:12" ht="15.75" hidden="1">
      <c r="A509" s="28">
        <v>27</v>
      </c>
      <c r="B509" s="14" t="s">
        <v>27</v>
      </c>
      <c r="C509" s="15" t="s">
        <v>126</v>
      </c>
      <c r="D509" s="39">
        <v>-1265.3499999999999</v>
      </c>
      <c r="E509" s="33">
        <f t="shared" si="40"/>
        <v>-182019.19</v>
      </c>
      <c r="F509" s="8"/>
      <c r="G509" s="38">
        <v>27</v>
      </c>
      <c r="H509" s="14" t="s">
        <v>27</v>
      </c>
      <c r="I509" s="15" t="s">
        <v>126</v>
      </c>
      <c r="J509" s="39">
        <v>-862.45</v>
      </c>
      <c r="K509" s="33">
        <f t="shared" si="41"/>
        <v>-180525.31</v>
      </c>
      <c r="L509" s="33">
        <f t="shared" si="39"/>
        <v>402.9</v>
      </c>
    </row>
    <row r="510" spans="1:12" ht="15.75" hidden="1">
      <c r="A510" s="28">
        <v>28</v>
      </c>
      <c r="B510" s="43" t="s">
        <v>28</v>
      </c>
      <c r="C510" s="23" t="s">
        <v>126</v>
      </c>
      <c r="D510" s="39">
        <v>-598.54</v>
      </c>
      <c r="E510" s="33">
        <f t="shared" si="40"/>
        <v>-182617.73</v>
      </c>
      <c r="F510" s="8"/>
      <c r="G510" s="38">
        <v>28</v>
      </c>
      <c r="H510" s="14" t="s">
        <v>28</v>
      </c>
      <c r="I510" s="15" t="s">
        <v>126</v>
      </c>
      <c r="J510" s="39">
        <v>-199.84</v>
      </c>
      <c r="K510" s="33">
        <f t="shared" si="41"/>
        <v>-180725.15</v>
      </c>
      <c r="L510" s="33">
        <f t="shared" si="39"/>
        <v>398.7</v>
      </c>
    </row>
    <row r="511" spans="1:12" ht="15.75" hidden="1">
      <c r="A511" s="28">
        <v>29</v>
      </c>
      <c r="B511" s="25" t="s">
        <v>29</v>
      </c>
      <c r="C511" s="26" t="s">
        <v>129</v>
      </c>
      <c r="D511" s="39"/>
      <c r="E511" s="30">
        <f t="shared" si="40"/>
        <v>-182617.73</v>
      </c>
      <c r="F511" s="8"/>
      <c r="G511" s="38">
        <v>29</v>
      </c>
      <c r="H511" s="25" t="s">
        <v>29</v>
      </c>
      <c r="I511" s="26" t="s">
        <v>129</v>
      </c>
      <c r="J511" s="39"/>
      <c r="K511" s="33">
        <f t="shared" si="41"/>
        <v>-180725.15</v>
      </c>
      <c r="L511" s="33"/>
    </row>
    <row r="512" spans="1:12" ht="15.75" hidden="1">
      <c r="A512" s="28">
        <f t="shared" ref="A512:A575" si="42">A511+1</f>
        <v>30</v>
      </c>
      <c r="B512" s="14" t="s">
        <v>30</v>
      </c>
      <c r="C512" s="15" t="s">
        <v>129</v>
      </c>
      <c r="D512" s="39"/>
      <c r="E512" s="33">
        <f t="shared" si="40"/>
        <v>-182617.73</v>
      </c>
      <c r="F512" s="8"/>
      <c r="G512" s="38">
        <f t="shared" ref="G512:G575" si="43">G511+1</f>
        <v>30</v>
      </c>
      <c r="H512" s="14" t="s">
        <v>30</v>
      </c>
      <c r="I512" s="15" t="s">
        <v>129</v>
      </c>
      <c r="J512" s="39"/>
      <c r="K512" s="33">
        <f t="shared" si="41"/>
        <v>-180725.15</v>
      </c>
      <c r="L512" s="33"/>
    </row>
    <row r="513" spans="1:12" ht="15.75" hidden="1">
      <c r="A513" s="28">
        <f t="shared" si="42"/>
        <v>31</v>
      </c>
      <c r="B513" s="14" t="s">
        <v>31</v>
      </c>
      <c r="C513" s="15" t="s">
        <v>129</v>
      </c>
      <c r="D513" s="39">
        <v>-1560.2</v>
      </c>
      <c r="E513" s="33">
        <f t="shared" si="40"/>
        <v>-184177.93</v>
      </c>
      <c r="F513" s="8"/>
      <c r="G513" s="38">
        <f t="shared" si="43"/>
        <v>31</v>
      </c>
      <c r="H513" s="14" t="s">
        <v>31</v>
      </c>
      <c r="I513" s="15" t="s">
        <v>129</v>
      </c>
      <c r="J513" s="39">
        <v>-1641.5</v>
      </c>
      <c r="K513" s="33">
        <f t="shared" si="41"/>
        <v>-182366.65</v>
      </c>
      <c r="L513" s="33">
        <f t="shared" si="39"/>
        <v>-81.3</v>
      </c>
    </row>
    <row r="514" spans="1:12" ht="15.75" hidden="1">
      <c r="A514" s="28">
        <f t="shared" si="42"/>
        <v>32</v>
      </c>
      <c r="B514" s="14" t="s">
        <v>32</v>
      </c>
      <c r="C514" s="15" t="s">
        <v>129</v>
      </c>
      <c r="D514" s="39"/>
      <c r="E514" s="33">
        <f t="shared" si="40"/>
        <v>-184177.93</v>
      </c>
      <c r="F514" s="8"/>
      <c r="G514" s="38">
        <f t="shared" si="43"/>
        <v>32</v>
      </c>
      <c r="H514" s="14" t="s">
        <v>32</v>
      </c>
      <c r="I514" s="15" t="s">
        <v>129</v>
      </c>
      <c r="J514" s="39"/>
      <c r="K514" s="33">
        <f t="shared" si="41"/>
        <v>-182366.65</v>
      </c>
      <c r="L514" s="33"/>
    </row>
    <row r="515" spans="1:12" ht="15.75" hidden="1">
      <c r="A515" s="28">
        <f t="shared" si="42"/>
        <v>33</v>
      </c>
      <c r="B515" s="14" t="s">
        <v>33</v>
      </c>
      <c r="C515" s="15" t="s">
        <v>129</v>
      </c>
      <c r="D515" s="39"/>
      <c r="E515" s="33">
        <f t="shared" si="40"/>
        <v>-184177.93</v>
      </c>
      <c r="F515" s="8"/>
      <c r="G515" s="38">
        <f t="shared" si="43"/>
        <v>33</v>
      </c>
      <c r="H515" s="14" t="s">
        <v>33</v>
      </c>
      <c r="I515" s="15" t="s">
        <v>129</v>
      </c>
      <c r="J515" s="39"/>
      <c r="K515" s="33">
        <f t="shared" si="41"/>
        <v>-182366.65</v>
      </c>
      <c r="L515" s="33"/>
    </row>
    <row r="516" spans="1:12" ht="15.75" hidden="1">
      <c r="A516" s="28">
        <f t="shared" si="42"/>
        <v>34</v>
      </c>
      <c r="B516" s="14" t="s">
        <v>34</v>
      </c>
      <c r="C516" s="15" t="s">
        <v>129</v>
      </c>
      <c r="D516" s="39">
        <v>-9146.1299999999992</v>
      </c>
      <c r="E516" s="33">
        <f t="shared" si="40"/>
        <v>-193324.06</v>
      </c>
      <c r="F516" s="8"/>
      <c r="G516" s="38">
        <f t="shared" si="43"/>
        <v>34</v>
      </c>
      <c r="H516" s="14" t="s">
        <v>34</v>
      </c>
      <c r="I516" s="15" t="s">
        <v>129</v>
      </c>
      <c r="J516" s="39">
        <v>-8661.1299999999992</v>
      </c>
      <c r="K516" s="33">
        <f t="shared" si="41"/>
        <v>-191027.78</v>
      </c>
      <c r="L516" s="33">
        <f t="shared" si="39"/>
        <v>485</v>
      </c>
    </row>
    <row r="517" spans="1:12" ht="15.75" hidden="1">
      <c r="A517" s="28">
        <f t="shared" si="42"/>
        <v>35</v>
      </c>
      <c r="B517" s="14" t="s">
        <v>131</v>
      </c>
      <c r="C517" s="15" t="s">
        <v>129</v>
      </c>
      <c r="D517" s="39"/>
      <c r="E517" s="33">
        <f t="shared" si="40"/>
        <v>-193324.06</v>
      </c>
      <c r="F517" s="8"/>
      <c r="G517" s="38">
        <f t="shared" si="43"/>
        <v>35</v>
      </c>
      <c r="H517" s="14" t="s">
        <v>131</v>
      </c>
      <c r="I517" s="15" t="s">
        <v>129</v>
      </c>
      <c r="J517" s="39"/>
      <c r="K517" s="33">
        <f t="shared" si="41"/>
        <v>-191027.78</v>
      </c>
      <c r="L517" s="33"/>
    </row>
    <row r="518" spans="1:12" ht="15.75" hidden="1">
      <c r="A518" s="28">
        <f t="shared" si="42"/>
        <v>36</v>
      </c>
      <c r="B518" s="14" t="s">
        <v>36</v>
      </c>
      <c r="C518" s="15" t="s">
        <v>129</v>
      </c>
      <c r="D518" s="39">
        <v>-4208.93</v>
      </c>
      <c r="E518" s="33">
        <f t="shared" si="40"/>
        <v>-197532.99</v>
      </c>
      <c r="F518" s="8"/>
      <c r="G518" s="38">
        <f t="shared" si="43"/>
        <v>36</v>
      </c>
      <c r="H518" s="14" t="s">
        <v>36</v>
      </c>
      <c r="I518" s="15" t="s">
        <v>129</v>
      </c>
      <c r="J518" s="39">
        <v>-4151.43</v>
      </c>
      <c r="K518" s="33">
        <f t="shared" si="41"/>
        <v>-195179.21</v>
      </c>
      <c r="L518" s="33">
        <f t="shared" si="39"/>
        <v>57.5</v>
      </c>
    </row>
    <row r="519" spans="1:12" ht="15.75" hidden="1">
      <c r="A519" s="28">
        <f t="shared" si="42"/>
        <v>37</v>
      </c>
      <c r="B519" s="14" t="s">
        <v>37</v>
      </c>
      <c r="C519" s="15" t="s">
        <v>129</v>
      </c>
      <c r="D519" s="39">
        <v>-12893.43</v>
      </c>
      <c r="E519" s="33">
        <f t="shared" si="40"/>
        <v>-210426.42</v>
      </c>
      <c r="F519" s="8"/>
      <c r="G519" s="38">
        <f t="shared" si="43"/>
        <v>37</v>
      </c>
      <c r="H519" s="14" t="s">
        <v>37</v>
      </c>
      <c r="I519" s="15" t="s">
        <v>129</v>
      </c>
      <c r="J519" s="39">
        <v>-12610.43</v>
      </c>
      <c r="K519" s="33">
        <f t="shared" si="41"/>
        <v>-207789.64</v>
      </c>
      <c r="L519" s="33">
        <f t="shared" si="39"/>
        <v>283</v>
      </c>
    </row>
    <row r="520" spans="1:12" ht="15.75" hidden="1">
      <c r="A520" s="28">
        <f t="shared" si="42"/>
        <v>38</v>
      </c>
      <c r="B520" s="43" t="s">
        <v>38</v>
      </c>
      <c r="C520" s="23" t="s">
        <v>130</v>
      </c>
      <c r="D520" s="39">
        <v>-374.9</v>
      </c>
      <c r="E520" s="44">
        <f t="shared" si="40"/>
        <v>-210801.32</v>
      </c>
      <c r="F520" s="8"/>
      <c r="G520" s="38">
        <f t="shared" si="43"/>
        <v>38</v>
      </c>
      <c r="H520" s="43" t="s">
        <v>38</v>
      </c>
      <c r="I520" s="23" t="s">
        <v>130</v>
      </c>
      <c r="J520" s="39">
        <v>-456.6</v>
      </c>
      <c r="K520" s="33">
        <f t="shared" si="41"/>
        <v>-208246.24</v>
      </c>
      <c r="L520" s="33">
        <f t="shared" si="39"/>
        <v>-81.7</v>
      </c>
    </row>
    <row r="521" spans="1:12" ht="15.75" hidden="1">
      <c r="A521" s="28">
        <f t="shared" si="42"/>
        <v>39</v>
      </c>
      <c r="B521" s="25" t="s">
        <v>39</v>
      </c>
      <c r="C521" s="26" t="s">
        <v>132</v>
      </c>
      <c r="D521" s="39"/>
      <c r="E521" s="30">
        <f t="shared" si="40"/>
        <v>-210801.32</v>
      </c>
      <c r="F521" s="8"/>
      <c r="G521" s="38">
        <f t="shared" si="43"/>
        <v>39</v>
      </c>
      <c r="H521" s="25" t="s">
        <v>39</v>
      </c>
      <c r="I521" s="26" t="s">
        <v>132</v>
      </c>
      <c r="J521" s="39"/>
      <c r="K521" s="33">
        <f t="shared" si="41"/>
        <v>-208246.24</v>
      </c>
      <c r="L521" s="33"/>
    </row>
    <row r="522" spans="1:12" ht="15.75" hidden="1">
      <c r="A522" s="28">
        <f t="shared" si="42"/>
        <v>40</v>
      </c>
      <c r="B522" s="14" t="s">
        <v>40</v>
      </c>
      <c r="C522" s="15" t="s">
        <v>132</v>
      </c>
      <c r="D522" s="39"/>
      <c r="E522" s="33">
        <f t="shared" si="40"/>
        <v>-210801.32</v>
      </c>
      <c r="F522" s="8"/>
      <c r="G522" s="38">
        <f t="shared" si="43"/>
        <v>40</v>
      </c>
      <c r="H522" s="14" t="s">
        <v>40</v>
      </c>
      <c r="I522" s="15" t="s">
        <v>132</v>
      </c>
      <c r="J522" s="39"/>
      <c r="K522" s="33">
        <f t="shared" si="41"/>
        <v>-208246.24</v>
      </c>
      <c r="L522" s="33"/>
    </row>
    <row r="523" spans="1:12" ht="15.75" hidden="1">
      <c r="A523" s="28">
        <f t="shared" si="42"/>
        <v>41</v>
      </c>
      <c r="B523" s="14" t="s">
        <v>41</v>
      </c>
      <c r="C523" s="15" t="s">
        <v>132</v>
      </c>
      <c r="D523" s="39">
        <v>-15952.94</v>
      </c>
      <c r="E523" s="33">
        <f t="shared" si="40"/>
        <v>-226754.26</v>
      </c>
      <c r="F523" s="8"/>
      <c r="G523" s="38">
        <f t="shared" si="43"/>
        <v>41</v>
      </c>
      <c r="H523" s="14" t="s">
        <v>41</v>
      </c>
      <c r="I523" s="15" t="s">
        <v>132</v>
      </c>
      <c r="J523" s="39">
        <v>-15936.94</v>
      </c>
      <c r="K523" s="33">
        <f t="shared" si="41"/>
        <v>-224183.18</v>
      </c>
      <c r="L523" s="33">
        <f t="shared" si="39"/>
        <v>16</v>
      </c>
    </row>
    <row r="524" spans="1:12" ht="15.75" hidden="1">
      <c r="A524" s="28">
        <f t="shared" si="42"/>
        <v>42</v>
      </c>
      <c r="B524" s="14" t="s">
        <v>42</v>
      </c>
      <c r="C524" s="15" t="s">
        <v>132</v>
      </c>
      <c r="D524" s="39">
        <v>-2219.16</v>
      </c>
      <c r="E524" s="33">
        <f t="shared" si="40"/>
        <v>-228973.42</v>
      </c>
      <c r="F524" s="8"/>
      <c r="G524" s="38">
        <f t="shared" si="43"/>
        <v>42</v>
      </c>
      <c r="H524" s="14" t="s">
        <v>42</v>
      </c>
      <c r="I524" s="15" t="s">
        <v>132</v>
      </c>
      <c r="J524" s="39">
        <v>-2373.0700000000002</v>
      </c>
      <c r="K524" s="33">
        <f t="shared" si="41"/>
        <v>-226556.25</v>
      </c>
      <c r="L524" s="33">
        <f t="shared" si="39"/>
        <v>-153.91</v>
      </c>
    </row>
    <row r="525" spans="1:12" ht="15.75" hidden="1">
      <c r="A525" s="28">
        <f t="shared" si="42"/>
        <v>43</v>
      </c>
      <c r="B525" s="14" t="s">
        <v>43</v>
      </c>
      <c r="C525" s="15" t="s">
        <v>132</v>
      </c>
      <c r="D525" s="39">
        <v>-20.3</v>
      </c>
      <c r="E525" s="33">
        <f t="shared" si="40"/>
        <v>-228993.72</v>
      </c>
      <c r="F525" s="8"/>
      <c r="G525" s="38">
        <f t="shared" si="43"/>
        <v>43</v>
      </c>
      <c r="H525" s="14" t="s">
        <v>43</v>
      </c>
      <c r="I525" s="15" t="s">
        <v>132</v>
      </c>
      <c r="J525" s="39">
        <v>-60.5</v>
      </c>
      <c r="K525" s="33">
        <f t="shared" si="41"/>
        <v>-226616.75</v>
      </c>
      <c r="L525" s="33">
        <f t="shared" si="39"/>
        <v>-40.200000000000003</v>
      </c>
    </row>
    <row r="526" spans="1:12" ht="15.75" hidden="1">
      <c r="A526" s="28">
        <f t="shared" si="42"/>
        <v>44</v>
      </c>
      <c r="B526" s="14" t="s">
        <v>44</v>
      </c>
      <c r="C526" s="15" t="s">
        <v>132</v>
      </c>
      <c r="D526" s="39">
        <v>-3055.18</v>
      </c>
      <c r="E526" s="33">
        <f t="shared" si="40"/>
        <v>-232048.9</v>
      </c>
      <c r="F526" s="8"/>
      <c r="G526" s="38">
        <f t="shared" si="43"/>
        <v>44</v>
      </c>
      <c r="H526" s="14" t="s">
        <v>44</v>
      </c>
      <c r="I526" s="15" t="s">
        <v>132</v>
      </c>
      <c r="J526" s="39">
        <v>-2986.88</v>
      </c>
      <c r="K526" s="33">
        <f t="shared" si="41"/>
        <v>-229603.63</v>
      </c>
      <c r="L526" s="33">
        <f t="shared" si="39"/>
        <v>68.299999999999699</v>
      </c>
    </row>
    <row r="527" spans="1:12" ht="15.75" hidden="1">
      <c r="A527" s="28">
        <f t="shared" si="42"/>
        <v>45</v>
      </c>
      <c r="B527" s="48" t="s">
        <v>45</v>
      </c>
      <c r="C527" s="49" t="s">
        <v>132</v>
      </c>
      <c r="D527" s="39"/>
      <c r="E527" s="33">
        <f t="shared" si="40"/>
        <v>-232048.9</v>
      </c>
      <c r="F527" s="8"/>
      <c r="G527" s="38">
        <f t="shared" si="43"/>
        <v>45</v>
      </c>
      <c r="H527" s="48" t="s">
        <v>45</v>
      </c>
      <c r="I527" s="49" t="s">
        <v>132</v>
      </c>
      <c r="J527" s="39">
        <v>-149.22999999999999</v>
      </c>
      <c r="K527" s="33">
        <f t="shared" si="41"/>
        <v>-229752.86</v>
      </c>
      <c r="L527" s="33">
        <f t="shared" si="39"/>
        <v>-149.22999999999999</v>
      </c>
    </row>
    <row r="528" spans="1:12" ht="15.75" hidden="1">
      <c r="A528" s="28">
        <f t="shared" si="42"/>
        <v>46</v>
      </c>
      <c r="B528" s="50" t="s">
        <v>46</v>
      </c>
      <c r="C528" s="49" t="s">
        <v>132</v>
      </c>
      <c r="D528" s="39">
        <v>-19721.2</v>
      </c>
      <c r="E528" s="33">
        <f t="shared" si="40"/>
        <v>-251770.1</v>
      </c>
      <c r="F528" s="8"/>
      <c r="G528" s="38">
        <f t="shared" si="43"/>
        <v>46</v>
      </c>
      <c r="H528" s="50" t="s">
        <v>46</v>
      </c>
      <c r="I528" s="49" t="s">
        <v>132</v>
      </c>
      <c r="J528" s="39">
        <v>-18613.8</v>
      </c>
      <c r="K528" s="33">
        <f t="shared" si="41"/>
        <v>-248366.66</v>
      </c>
      <c r="L528" s="33">
        <f t="shared" si="39"/>
        <v>1107.4000000000001</v>
      </c>
    </row>
    <row r="529" spans="1:12" ht="15.75" hidden="1">
      <c r="A529" s="28">
        <f t="shared" si="42"/>
        <v>47</v>
      </c>
      <c r="B529" s="14" t="s">
        <v>47</v>
      </c>
      <c r="C529" s="15" t="s">
        <v>132</v>
      </c>
      <c r="D529" s="39">
        <v>-121.57</v>
      </c>
      <c r="E529" s="33">
        <f t="shared" si="40"/>
        <v>-251891.67</v>
      </c>
      <c r="F529" s="8"/>
      <c r="G529" s="38">
        <f t="shared" si="43"/>
        <v>47</v>
      </c>
      <c r="H529" s="14" t="s">
        <v>47</v>
      </c>
      <c r="I529" s="15" t="s">
        <v>132</v>
      </c>
      <c r="J529" s="39">
        <v>-545.87</v>
      </c>
      <c r="K529" s="33">
        <f t="shared" si="41"/>
        <v>-248912.53</v>
      </c>
      <c r="L529" s="33">
        <f t="shared" si="39"/>
        <v>-424.3</v>
      </c>
    </row>
    <row r="530" spans="1:12" ht="15.75" hidden="1">
      <c r="A530" s="28">
        <f t="shared" si="42"/>
        <v>48</v>
      </c>
      <c r="B530" s="14" t="s">
        <v>48</v>
      </c>
      <c r="C530" s="15" t="s">
        <v>132</v>
      </c>
      <c r="D530" s="39">
        <v>-153.32</v>
      </c>
      <c r="E530" s="33">
        <f t="shared" si="40"/>
        <v>-252044.99</v>
      </c>
      <c r="F530" s="8"/>
      <c r="G530" s="38">
        <f t="shared" si="43"/>
        <v>48</v>
      </c>
      <c r="H530" s="14" t="s">
        <v>48</v>
      </c>
      <c r="I530" s="15" t="s">
        <v>132</v>
      </c>
      <c r="J530" s="39"/>
      <c r="K530" s="33">
        <f t="shared" si="41"/>
        <v>-248912.53</v>
      </c>
      <c r="L530" s="33">
        <f t="shared" si="39"/>
        <v>153.32</v>
      </c>
    </row>
    <row r="531" spans="1:12" ht="15.75" hidden="1">
      <c r="A531" s="28">
        <f t="shared" si="42"/>
        <v>49</v>
      </c>
      <c r="B531" s="14" t="s">
        <v>49</v>
      </c>
      <c r="C531" s="15" t="s">
        <v>132</v>
      </c>
      <c r="D531" s="39">
        <v>-961.72</v>
      </c>
      <c r="E531" s="33">
        <f t="shared" si="40"/>
        <v>-253006.71</v>
      </c>
      <c r="F531" s="8"/>
      <c r="G531" s="38">
        <f t="shared" si="43"/>
        <v>49</v>
      </c>
      <c r="H531" s="14" t="s">
        <v>49</v>
      </c>
      <c r="I531" s="15" t="s">
        <v>132</v>
      </c>
      <c r="J531" s="39">
        <v>-807.32</v>
      </c>
      <c r="K531" s="33">
        <f t="shared" si="41"/>
        <v>-249719.85</v>
      </c>
      <c r="L531" s="33">
        <f t="shared" si="39"/>
        <v>154.4</v>
      </c>
    </row>
    <row r="532" spans="1:12" ht="15.75" hidden="1">
      <c r="A532" s="28">
        <f t="shared" si="42"/>
        <v>50</v>
      </c>
      <c r="B532" s="43" t="s">
        <v>50</v>
      </c>
      <c r="C532" s="23" t="s">
        <v>132</v>
      </c>
      <c r="D532" s="39">
        <v>-372.76</v>
      </c>
      <c r="E532" s="33">
        <f t="shared" si="40"/>
        <v>-253379.47</v>
      </c>
      <c r="F532" s="8"/>
      <c r="G532" s="38">
        <f t="shared" si="43"/>
        <v>50</v>
      </c>
      <c r="H532" s="14" t="s">
        <v>50</v>
      </c>
      <c r="I532" s="15" t="s">
        <v>132</v>
      </c>
      <c r="J532" s="39">
        <v>-333.46</v>
      </c>
      <c r="K532" s="33">
        <f t="shared" si="41"/>
        <v>-250053.31</v>
      </c>
      <c r="L532" s="33">
        <f t="shared" si="39"/>
        <v>39.299999999999997</v>
      </c>
    </row>
    <row r="533" spans="1:12" ht="15.75" hidden="1">
      <c r="A533" s="28">
        <f t="shared" si="42"/>
        <v>51</v>
      </c>
      <c r="B533" s="25" t="s">
        <v>51</v>
      </c>
      <c r="C533" s="26" t="s">
        <v>133</v>
      </c>
      <c r="D533" s="39"/>
      <c r="E533" s="33">
        <f t="shared" si="40"/>
        <v>-253379.47</v>
      </c>
      <c r="F533" s="8"/>
      <c r="G533" s="38">
        <f t="shared" si="43"/>
        <v>51</v>
      </c>
      <c r="H533" s="25" t="s">
        <v>51</v>
      </c>
      <c r="I533" s="26" t="s">
        <v>133</v>
      </c>
      <c r="J533" s="39"/>
      <c r="K533" s="33">
        <f t="shared" si="41"/>
        <v>-250053.31</v>
      </c>
      <c r="L533" s="33"/>
    </row>
    <row r="534" spans="1:12" ht="15.75" hidden="1">
      <c r="A534" s="28">
        <f t="shared" si="42"/>
        <v>52</v>
      </c>
      <c r="B534" s="14" t="s">
        <v>52</v>
      </c>
      <c r="C534" s="15" t="s">
        <v>133</v>
      </c>
      <c r="D534" s="39"/>
      <c r="E534" s="33">
        <f t="shared" si="40"/>
        <v>-253379.47</v>
      </c>
      <c r="F534" s="8"/>
      <c r="G534" s="38">
        <f t="shared" si="43"/>
        <v>52</v>
      </c>
      <c r="H534" s="14" t="s">
        <v>52</v>
      </c>
      <c r="I534" s="15" t="s">
        <v>133</v>
      </c>
      <c r="J534" s="39"/>
      <c r="K534" s="33">
        <f t="shared" si="41"/>
        <v>-250053.31</v>
      </c>
      <c r="L534" s="33"/>
    </row>
    <row r="535" spans="1:12" ht="15.75" hidden="1">
      <c r="A535" s="28">
        <f t="shared" si="42"/>
        <v>53</v>
      </c>
      <c r="B535" s="14" t="s">
        <v>53</v>
      </c>
      <c r="C535" s="15" t="s">
        <v>133</v>
      </c>
      <c r="D535" s="39">
        <v>-1415.62</v>
      </c>
      <c r="E535" s="33">
        <f t="shared" si="40"/>
        <v>-254795.09</v>
      </c>
      <c r="F535" s="8"/>
      <c r="G535" s="38">
        <f t="shared" si="43"/>
        <v>53</v>
      </c>
      <c r="H535" s="14" t="s">
        <v>53</v>
      </c>
      <c r="I535" s="15" t="s">
        <v>133</v>
      </c>
      <c r="J535" s="39">
        <v>-610.22</v>
      </c>
      <c r="K535" s="33">
        <f t="shared" si="41"/>
        <v>-250663.53</v>
      </c>
      <c r="L535" s="33">
        <f t="shared" si="39"/>
        <v>805.4</v>
      </c>
    </row>
    <row r="536" spans="1:12" ht="15.75" hidden="1">
      <c r="A536" s="28">
        <f t="shared" si="42"/>
        <v>54</v>
      </c>
      <c r="B536" s="14" t="s">
        <v>54</v>
      </c>
      <c r="C536" s="15" t="s">
        <v>133</v>
      </c>
      <c r="D536" s="39"/>
      <c r="E536" s="33">
        <f t="shared" si="40"/>
        <v>-254795.09</v>
      </c>
      <c r="F536" s="8"/>
      <c r="G536" s="38">
        <f t="shared" si="43"/>
        <v>54</v>
      </c>
      <c r="H536" s="14" t="s">
        <v>54</v>
      </c>
      <c r="I536" s="15" t="s">
        <v>133</v>
      </c>
      <c r="J536" s="39"/>
      <c r="K536" s="33">
        <f t="shared" si="41"/>
        <v>-250663.53</v>
      </c>
      <c r="L536" s="33"/>
    </row>
    <row r="537" spans="1:12" ht="15.75" hidden="1">
      <c r="A537" s="28">
        <f t="shared" si="42"/>
        <v>55</v>
      </c>
      <c r="B537" s="14" t="s">
        <v>55</v>
      </c>
      <c r="C537" s="15" t="s">
        <v>133</v>
      </c>
      <c r="D537" s="39">
        <v>-5493.03</v>
      </c>
      <c r="E537" s="33">
        <f t="shared" si="40"/>
        <v>-260288.12</v>
      </c>
      <c r="F537" s="8"/>
      <c r="G537" s="38">
        <f t="shared" si="43"/>
        <v>55</v>
      </c>
      <c r="H537" s="14" t="s">
        <v>55</v>
      </c>
      <c r="I537" s="15" t="s">
        <v>133</v>
      </c>
      <c r="J537" s="39">
        <v>-5489.63</v>
      </c>
      <c r="K537" s="33">
        <f t="shared" si="41"/>
        <v>-256153.16</v>
      </c>
      <c r="L537" s="33">
        <f t="shared" si="39"/>
        <v>3.3999999999996402</v>
      </c>
    </row>
    <row r="538" spans="1:12" ht="15.75" hidden="1">
      <c r="A538" s="28">
        <f t="shared" si="42"/>
        <v>56</v>
      </c>
      <c r="B538" s="14" t="s">
        <v>56</v>
      </c>
      <c r="C538" s="15" t="s">
        <v>133</v>
      </c>
      <c r="D538" s="39">
        <v>-4039.42</v>
      </c>
      <c r="E538" s="33">
        <f t="shared" si="40"/>
        <v>-264327.53999999998</v>
      </c>
      <c r="F538" s="8"/>
      <c r="G538" s="38">
        <f t="shared" si="43"/>
        <v>56</v>
      </c>
      <c r="H538" s="14" t="s">
        <v>56</v>
      </c>
      <c r="I538" s="15" t="s">
        <v>133</v>
      </c>
      <c r="J538" s="39">
        <v>-3960.12</v>
      </c>
      <c r="K538" s="33">
        <f t="shared" si="41"/>
        <v>-260113.28</v>
      </c>
      <c r="L538" s="33">
        <f t="shared" si="39"/>
        <v>79.300000000000196</v>
      </c>
    </row>
    <row r="539" spans="1:12" ht="15.75" hidden="1">
      <c r="A539" s="28">
        <f t="shared" si="42"/>
        <v>57</v>
      </c>
      <c r="B539" s="14" t="s">
        <v>57</v>
      </c>
      <c r="C539" s="15" t="s">
        <v>133</v>
      </c>
      <c r="D539" s="39"/>
      <c r="E539" s="33">
        <f t="shared" si="40"/>
        <v>-264327.53999999998</v>
      </c>
      <c r="F539" s="8"/>
      <c r="G539" s="38">
        <f t="shared" si="43"/>
        <v>57</v>
      </c>
      <c r="H539" s="14" t="s">
        <v>57</v>
      </c>
      <c r="I539" s="15" t="s">
        <v>133</v>
      </c>
      <c r="J539" s="39"/>
      <c r="K539" s="33">
        <f t="shared" si="41"/>
        <v>-260113.28</v>
      </c>
      <c r="L539" s="33"/>
    </row>
    <row r="540" spans="1:12" ht="15.75" hidden="1">
      <c r="A540" s="28">
        <f t="shared" si="42"/>
        <v>58</v>
      </c>
      <c r="B540" s="43" t="s">
        <v>58</v>
      </c>
      <c r="C540" s="23" t="s">
        <v>133</v>
      </c>
      <c r="D540" s="39">
        <v>-10680.4</v>
      </c>
      <c r="E540" s="33">
        <f t="shared" si="40"/>
        <v>-275007.94</v>
      </c>
      <c r="F540" s="8"/>
      <c r="G540" s="38">
        <f t="shared" si="43"/>
        <v>58</v>
      </c>
      <c r="H540" s="43" t="s">
        <v>58</v>
      </c>
      <c r="I540" s="23" t="s">
        <v>133</v>
      </c>
      <c r="J540" s="39">
        <v>-10949.5</v>
      </c>
      <c r="K540" s="33">
        <f t="shared" si="41"/>
        <v>-271062.78000000003</v>
      </c>
      <c r="L540" s="33">
        <f t="shared" si="39"/>
        <v>-269.10000000000002</v>
      </c>
    </row>
    <row r="541" spans="1:12" ht="15.75" hidden="1">
      <c r="A541" s="28">
        <f t="shared" si="42"/>
        <v>59</v>
      </c>
      <c r="B541" s="25" t="s">
        <v>59</v>
      </c>
      <c r="C541" s="26" t="s">
        <v>134</v>
      </c>
      <c r="D541" s="39"/>
      <c r="E541" s="33">
        <f t="shared" si="40"/>
        <v>-275007.94</v>
      </c>
      <c r="F541" s="8"/>
      <c r="G541" s="38">
        <f t="shared" si="43"/>
        <v>59</v>
      </c>
      <c r="H541" s="25" t="s">
        <v>59</v>
      </c>
      <c r="I541" s="26" t="s">
        <v>134</v>
      </c>
      <c r="J541" s="39"/>
      <c r="K541" s="33">
        <f t="shared" si="41"/>
        <v>-271062.78000000003</v>
      </c>
      <c r="L541" s="33"/>
    </row>
    <row r="542" spans="1:12" ht="15.75" hidden="1">
      <c r="A542" s="28">
        <f t="shared" si="42"/>
        <v>60</v>
      </c>
      <c r="B542" s="14" t="s">
        <v>60</v>
      </c>
      <c r="C542" s="15" t="s">
        <v>134</v>
      </c>
      <c r="D542" s="39">
        <v>-216.18</v>
      </c>
      <c r="E542" s="33">
        <f t="shared" si="40"/>
        <v>-275224.12</v>
      </c>
      <c r="F542" s="8"/>
      <c r="G542" s="38">
        <f t="shared" si="43"/>
        <v>60</v>
      </c>
      <c r="H542" s="14" t="s">
        <v>60</v>
      </c>
      <c r="I542" s="15" t="s">
        <v>134</v>
      </c>
      <c r="J542" s="39">
        <v>-34.58</v>
      </c>
      <c r="K542" s="33">
        <f t="shared" si="41"/>
        <v>-271097.36</v>
      </c>
      <c r="L542" s="33">
        <f t="shared" si="39"/>
        <v>181.6</v>
      </c>
    </row>
    <row r="543" spans="1:12" ht="15.75" hidden="1">
      <c r="A543" s="28">
        <f t="shared" si="42"/>
        <v>61</v>
      </c>
      <c r="B543" s="14" t="s">
        <v>61</v>
      </c>
      <c r="C543" s="15" t="s">
        <v>134</v>
      </c>
      <c r="D543" s="39">
        <v>-43.69</v>
      </c>
      <c r="E543" s="33">
        <f t="shared" si="40"/>
        <v>-275267.81</v>
      </c>
      <c r="F543" s="8"/>
      <c r="G543" s="38">
        <f t="shared" si="43"/>
        <v>61</v>
      </c>
      <c r="H543" s="14" t="s">
        <v>61</v>
      </c>
      <c r="I543" s="15" t="s">
        <v>134</v>
      </c>
      <c r="J543" s="39"/>
      <c r="K543" s="33">
        <f t="shared" si="41"/>
        <v>-271097.36</v>
      </c>
      <c r="L543" s="33">
        <f t="shared" si="39"/>
        <v>43.69</v>
      </c>
    </row>
    <row r="544" spans="1:12" ht="15.75" hidden="1">
      <c r="A544" s="28">
        <f t="shared" si="42"/>
        <v>62</v>
      </c>
      <c r="B544" s="14" t="s">
        <v>62</v>
      </c>
      <c r="C544" s="15" t="s">
        <v>134</v>
      </c>
      <c r="D544" s="39"/>
      <c r="E544" s="33">
        <f t="shared" si="40"/>
        <v>-275267.81</v>
      </c>
      <c r="F544" s="8"/>
      <c r="G544" s="38">
        <f t="shared" si="43"/>
        <v>62</v>
      </c>
      <c r="H544" s="14" t="s">
        <v>62</v>
      </c>
      <c r="I544" s="15" t="s">
        <v>134</v>
      </c>
      <c r="J544" s="39"/>
      <c r="K544" s="33">
        <f t="shared" si="41"/>
        <v>-271097.36</v>
      </c>
      <c r="L544" s="33"/>
    </row>
    <row r="545" spans="1:16" ht="15.75" hidden="1">
      <c r="A545" s="28">
        <f t="shared" si="42"/>
        <v>63</v>
      </c>
      <c r="B545" s="14" t="s">
        <v>63</v>
      </c>
      <c r="C545" s="15" t="s">
        <v>134</v>
      </c>
      <c r="D545" s="39"/>
      <c r="E545" s="33">
        <f t="shared" si="40"/>
        <v>-275267.81</v>
      </c>
      <c r="F545" s="8"/>
      <c r="G545" s="38">
        <f t="shared" si="43"/>
        <v>63</v>
      </c>
      <c r="H545" s="14" t="s">
        <v>63</v>
      </c>
      <c r="I545" s="15" t="s">
        <v>134</v>
      </c>
      <c r="J545" s="39"/>
      <c r="K545" s="33">
        <f t="shared" si="41"/>
        <v>-271097.36</v>
      </c>
      <c r="L545" s="33"/>
    </row>
    <row r="546" spans="1:16" ht="15.75" hidden="1">
      <c r="A546" s="28">
        <f t="shared" si="42"/>
        <v>64</v>
      </c>
      <c r="B546" s="14" t="s">
        <v>64</v>
      </c>
      <c r="C546" s="15" t="s">
        <v>134</v>
      </c>
      <c r="D546" s="39"/>
      <c r="E546" s="33">
        <f t="shared" si="40"/>
        <v>-275267.81</v>
      </c>
      <c r="F546" s="8"/>
      <c r="G546" s="38">
        <f t="shared" si="43"/>
        <v>64</v>
      </c>
      <c r="H546" s="14" t="s">
        <v>64</v>
      </c>
      <c r="I546" s="15" t="s">
        <v>134</v>
      </c>
      <c r="J546" s="39"/>
      <c r="K546" s="33">
        <f t="shared" si="41"/>
        <v>-271097.36</v>
      </c>
      <c r="L546" s="33"/>
      <c r="M546" s="8"/>
      <c r="N546" s="25" t="s">
        <v>1</v>
      </c>
      <c r="O546" s="26" t="s">
        <v>119</v>
      </c>
      <c r="P546" s="1">
        <v>-3579.87</v>
      </c>
    </row>
    <row r="547" spans="1:16" ht="15.75" hidden="1">
      <c r="A547" s="28">
        <f t="shared" si="42"/>
        <v>65</v>
      </c>
      <c r="B547" s="14" t="s">
        <v>65</v>
      </c>
      <c r="C547" s="15" t="s">
        <v>134</v>
      </c>
      <c r="D547" s="39"/>
      <c r="E547" s="33">
        <f t="shared" si="40"/>
        <v>-275267.81</v>
      </c>
      <c r="F547" s="8"/>
      <c r="G547" s="38">
        <f t="shared" si="43"/>
        <v>65</v>
      </c>
      <c r="H547" s="14" t="s">
        <v>65</v>
      </c>
      <c r="I547" s="15" t="s">
        <v>134</v>
      </c>
      <c r="J547" s="39"/>
      <c r="K547" s="33">
        <f t="shared" si="41"/>
        <v>-271097.36</v>
      </c>
      <c r="L547" s="33"/>
      <c r="M547" s="8"/>
      <c r="N547" s="14" t="s">
        <v>2</v>
      </c>
      <c r="O547" s="15" t="s">
        <v>119</v>
      </c>
      <c r="P547" s="1">
        <v>-1847.7</v>
      </c>
    </row>
    <row r="548" spans="1:16" ht="15.75" hidden="1">
      <c r="A548" s="28">
        <f t="shared" si="42"/>
        <v>66</v>
      </c>
      <c r="B548" s="43" t="s">
        <v>66</v>
      </c>
      <c r="C548" s="23" t="s">
        <v>134</v>
      </c>
      <c r="D548" s="39"/>
      <c r="E548" s="44">
        <f t="shared" si="40"/>
        <v>-275267.81</v>
      </c>
      <c r="F548" s="8"/>
      <c r="G548" s="38">
        <f t="shared" si="43"/>
        <v>66</v>
      </c>
      <c r="H548" s="43" t="s">
        <v>66</v>
      </c>
      <c r="I548" s="23" t="s">
        <v>134</v>
      </c>
      <c r="J548" s="39"/>
      <c r="K548" s="33">
        <f t="shared" si="41"/>
        <v>-271097.36</v>
      </c>
      <c r="L548" s="33"/>
      <c r="M548" s="8"/>
      <c r="N548" s="14" t="s">
        <v>3</v>
      </c>
      <c r="O548" s="15" t="s">
        <v>119</v>
      </c>
      <c r="P548" s="1">
        <v>-583.35</v>
      </c>
    </row>
    <row r="549" spans="1:16" ht="15.75" hidden="1">
      <c r="A549" s="28">
        <f t="shared" si="42"/>
        <v>67</v>
      </c>
      <c r="B549" s="25" t="s">
        <v>67</v>
      </c>
      <c r="C549" s="26" t="s">
        <v>135</v>
      </c>
      <c r="D549" s="39">
        <v>-1508.51</v>
      </c>
      <c r="E549" s="30">
        <f t="shared" ref="E549:E580" si="44">E548+D549</f>
        <v>-276776.32000000001</v>
      </c>
      <c r="F549" s="8"/>
      <c r="G549" s="38">
        <f t="shared" si="43"/>
        <v>67</v>
      </c>
      <c r="H549" s="25" t="s">
        <v>67</v>
      </c>
      <c r="I549" s="26" t="s">
        <v>135</v>
      </c>
      <c r="J549" s="39">
        <v>-1569.81</v>
      </c>
      <c r="K549" s="33">
        <f t="shared" ref="K549:K580" si="45">K548+J549</f>
        <v>-272667.17</v>
      </c>
      <c r="L549" s="33">
        <f t="shared" ref="L549:L581" si="46">J549-D549</f>
        <v>-61.3</v>
      </c>
      <c r="M549" s="8"/>
      <c r="N549" s="14" t="s">
        <v>4</v>
      </c>
      <c r="O549" s="15" t="s">
        <v>119</v>
      </c>
      <c r="P549" s="1">
        <v>-11340.16</v>
      </c>
    </row>
    <row r="550" spans="1:16" ht="15.75" hidden="1">
      <c r="A550" s="28">
        <f t="shared" si="42"/>
        <v>68</v>
      </c>
      <c r="B550" s="14" t="s">
        <v>68</v>
      </c>
      <c r="C550" s="15" t="s">
        <v>135</v>
      </c>
      <c r="D550" s="39">
        <v>-3160.86</v>
      </c>
      <c r="E550" s="33">
        <f t="shared" si="44"/>
        <v>-279937.18</v>
      </c>
      <c r="F550" s="8"/>
      <c r="G550" s="38">
        <f t="shared" si="43"/>
        <v>68</v>
      </c>
      <c r="H550" s="14" t="s">
        <v>68</v>
      </c>
      <c r="I550" s="15" t="s">
        <v>135</v>
      </c>
      <c r="J550" s="39">
        <v>-2761.46</v>
      </c>
      <c r="K550" s="33">
        <f t="shared" si="45"/>
        <v>-275428.63</v>
      </c>
      <c r="L550" s="33">
        <f t="shared" si="46"/>
        <v>399.4</v>
      </c>
      <c r="M550" s="8"/>
      <c r="N550" s="14" t="s">
        <v>5</v>
      </c>
      <c r="O550" s="15" t="s">
        <v>119</v>
      </c>
      <c r="P550" s="1"/>
    </row>
    <row r="551" spans="1:16" ht="15.75" hidden="1">
      <c r="A551" s="28">
        <f t="shared" si="42"/>
        <v>69</v>
      </c>
      <c r="B551" s="43" t="s">
        <v>69</v>
      </c>
      <c r="C551" s="23" t="s">
        <v>135</v>
      </c>
      <c r="D551" s="39">
        <v>-3667.86</v>
      </c>
      <c r="E551" s="44">
        <f t="shared" si="44"/>
        <v>-283605.03999999998</v>
      </c>
      <c r="F551" s="8"/>
      <c r="G551" s="38">
        <f t="shared" si="43"/>
        <v>69</v>
      </c>
      <c r="H551" s="43" t="s">
        <v>69</v>
      </c>
      <c r="I551" s="23" t="s">
        <v>135</v>
      </c>
      <c r="J551" s="39">
        <v>-2285.2600000000002</v>
      </c>
      <c r="K551" s="33">
        <f t="shared" si="45"/>
        <v>-277713.89</v>
      </c>
      <c r="L551" s="33">
        <f t="shared" si="46"/>
        <v>1382.6</v>
      </c>
      <c r="M551" s="8"/>
      <c r="N551" s="14" t="s">
        <v>6</v>
      </c>
      <c r="O551" s="15" t="s">
        <v>119</v>
      </c>
      <c r="P551" s="1">
        <v>-2130.8000000000002</v>
      </c>
    </row>
    <row r="552" spans="1:16" ht="15.75" hidden="1">
      <c r="A552" s="28">
        <f t="shared" si="42"/>
        <v>70</v>
      </c>
      <c r="B552" s="25" t="s">
        <v>136</v>
      </c>
      <c r="C552" s="26" t="s">
        <v>137</v>
      </c>
      <c r="D552" s="39">
        <v>-3053.28</v>
      </c>
      <c r="E552" s="30">
        <f t="shared" si="44"/>
        <v>-286658.32</v>
      </c>
      <c r="F552" s="8"/>
      <c r="G552" s="38">
        <f t="shared" si="43"/>
        <v>70</v>
      </c>
      <c r="H552" s="25" t="s">
        <v>136</v>
      </c>
      <c r="I552" s="26" t="s">
        <v>137</v>
      </c>
      <c r="J552" s="39">
        <v>-3018.88</v>
      </c>
      <c r="K552" s="33">
        <f t="shared" si="45"/>
        <v>-280732.77</v>
      </c>
      <c r="L552" s="33">
        <f t="shared" si="46"/>
        <v>34.400000000000098</v>
      </c>
      <c r="M552" s="8"/>
      <c r="N552" s="14" t="s">
        <v>7</v>
      </c>
      <c r="O552" s="15" t="s">
        <v>119</v>
      </c>
      <c r="P552" s="1">
        <v>-257.39999999999998</v>
      </c>
    </row>
    <row r="553" spans="1:16" ht="15.75" hidden="1">
      <c r="A553" s="28">
        <f t="shared" si="42"/>
        <v>71</v>
      </c>
      <c r="B553" s="14" t="s">
        <v>71</v>
      </c>
      <c r="C553" s="15" t="s">
        <v>137</v>
      </c>
      <c r="D553" s="39"/>
      <c r="E553" s="33">
        <f t="shared" si="44"/>
        <v>-286658.32</v>
      </c>
      <c r="F553" s="8"/>
      <c r="G553" s="38">
        <f t="shared" si="43"/>
        <v>71</v>
      </c>
      <c r="H553" s="14" t="s">
        <v>71</v>
      </c>
      <c r="I553" s="15" t="s">
        <v>137</v>
      </c>
      <c r="J553" s="39"/>
      <c r="K553" s="33">
        <f t="shared" si="45"/>
        <v>-280732.77</v>
      </c>
      <c r="L553" s="33"/>
      <c r="M553" s="8"/>
      <c r="N553" s="14" t="s">
        <v>8</v>
      </c>
      <c r="O553" s="15" t="s">
        <v>119</v>
      </c>
      <c r="P553" s="1">
        <v>-159.5</v>
      </c>
    </row>
    <row r="554" spans="1:16" ht="15.75" hidden="1">
      <c r="A554" s="28">
        <f t="shared" si="42"/>
        <v>72</v>
      </c>
      <c r="B554" s="14" t="s">
        <v>72</v>
      </c>
      <c r="C554" s="15" t="s">
        <v>137</v>
      </c>
      <c r="D554" s="39"/>
      <c r="E554" s="33">
        <f t="shared" si="44"/>
        <v>-286658.32</v>
      </c>
      <c r="F554" s="8"/>
      <c r="G554" s="38">
        <f t="shared" si="43"/>
        <v>72</v>
      </c>
      <c r="H554" s="14" t="s">
        <v>72</v>
      </c>
      <c r="I554" s="15" t="s">
        <v>137</v>
      </c>
      <c r="J554" s="39"/>
      <c r="K554" s="33">
        <f t="shared" si="45"/>
        <v>-280732.77</v>
      </c>
      <c r="L554" s="33"/>
      <c r="M554" s="8"/>
      <c r="N554" s="14" t="s">
        <v>9</v>
      </c>
      <c r="O554" s="15" t="s">
        <v>119</v>
      </c>
      <c r="P554" s="1">
        <v>-3339.2</v>
      </c>
    </row>
    <row r="555" spans="1:16" ht="15.75" hidden="1">
      <c r="A555" s="28">
        <f t="shared" si="42"/>
        <v>73</v>
      </c>
      <c r="B555" s="14" t="s">
        <v>138</v>
      </c>
      <c r="C555" s="15" t="s">
        <v>137</v>
      </c>
      <c r="D555" s="39"/>
      <c r="E555" s="33">
        <f t="shared" si="44"/>
        <v>-286658.32</v>
      </c>
      <c r="F555" s="8"/>
      <c r="G555" s="38">
        <f t="shared" si="43"/>
        <v>73</v>
      </c>
      <c r="H555" s="14" t="s">
        <v>138</v>
      </c>
      <c r="I555" s="15" t="s">
        <v>137</v>
      </c>
      <c r="J555" s="39"/>
      <c r="K555" s="33">
        <f t="shared" si="45"/>
        <v>-280732.77</v>
      </c>
      <c r="L555" s="33"/>
      <c r="M555" s="8"/>
      <c r="N555" s="14" t="s">
        <v>10</v>
      </c>
      <c r="O555" s="15" t="s">
        <v>119</v>
      </c>
      <c r="P555" s="1">
        <v>-791.39</v>
      </c>
    </row>
    <row r="556" spans="1:16" ht="15.75" hidden="1">
      <c r="A556" s="28">
        <f t="shared" si="42"/>
        <v>74</v>
      </c>
      <c r="B556" s="14" t="s">
        <v>74</v>
      </c>
      <c r="C556" s="15" t="s">
        <v>137</v>
      </c>
      <c r="D556" s="39">
        <v>-4521.8</v>
      </c>
      <c r="E556" s="33">
        <f t="shared" si="44"/>
        <v>-291180.12</v>
      </c>
      <c r="F556" s="8"/>
      <c r="G556" s="38">
        <f t="shared" si="43"/>
        <v>74</v>
      </c>
      <c r="H556" s="14" t="s">
        <v>74</v>
      </c>
      <c r="I556" s="15" t="s">
        <v>137</v>
      </c>
      <c r="J556" s="39">
        <v>-3095.6</v>
      </c>
      <c r="K556" s="33">
        <f t="shared" si="45"/>
        <v>-283828.37</v>
      </c>
      <c r="L556" s="33">
        <f t="shared" si="46"/>
        <v>1426.2</v>
      </c>
      <c r="M556" s="8"/>
      <c r="N556" s="43" t="s">
        <v>11</v>
      </c>
      <c r="O556" s="23" t="s">
        <v>119</v>
      </c>
      <c r="P556" s="1">
        <v>641.67999999999995</v>
      </c>
    </row>
    <row r="557" spans="1:16" ht="15.75" hidden="1">
      <c r="A557" s="28">
        <f t="shared" si="42"/>
        <v>75</v>
      </c>
      <c r="B557" s="14" t="s">
        <v>75</v>
      </c>
      <c r="C557" s="15" t="s">
        <v>137</v>
      </c>
      <c r="D557" s="39">
        <v>-16191.79</v>
      </c>
      <c r="E557" s="33">
        <f t="shared" si="44"/>
        <v>-307371.90999999997</v>
      </c>
      <c r="F557" s="8"/>
      <c r="G557" s="38">
        <f t="shared" si="43"/>
        <v>75</v>
      </c>
      <c r="H557" s="14" t="s">
        <v>75</v>
      </c>
      <c r="I557" s="15" t="s">
        <v>137</v>
      </c>
      <c r="J557" s="39">
        <v>-15624.89</v>
      </c>
      <c r="K557" s="33">
        <f t="shared" si="45"/>
        <v>-299453.26</v>
      </c>
      <c r="L557" s="33">
        <f t="shared" si="46"/>
        <v>566.900000000001</v>
      </c>
      <c r="M557" s="8"/>
      <c r="N557" s="25" t="s">
        <v>12</v>
      </c>
      <c r="O557" s="26" t="s">
        <v>123</v>
      </c>
      <c r="P557" s="1">
        <v>-25187.9</v>
      </c>
    </row>
    <row r="558" spans="1:16" ht="15.75" hidden="1">
      <c r="A558" s="28">
        <f t="shared" si="42"/>
        <v>76</v>
      </c>
      <c r="B558" s="43" t="s">
        <v>76</v>
      </c>
      <c r="C558" s="23" t="s">
        <v>137</v>
      </c>
      <c r="D558" s="39">
        <v>-48576.94</v>
      </c>
      <c r="E558" s="44">
        <f t="shared" si="44"/>
        <v>-355948.85</v>
      </c>
      <c r="F558" s="8"/>
      <c r="G558" s="38">
        <f t="shared" si="43"/>
        <v>76</v>
      </c>
      <c r="H558" s="43" t="s">
        <v>76</v>
      </c>
      <c r="I558" s="23" t="s">
        <v>137</v>
      </c>
      <c r="J558" s="39">
        <v>-49070.14</v>
      </c>
      <c r="K558" s="33">
        <f t="shared" si="45"/>
        <v>-348523.4</v>
      </c>
      <c r="L558" s="33">
        <f t="shared" si="46"/>
        <v>-493.19999999999698</v>
      </c>
      <c r="M558" s="8"/>
      <c r="N558" s="14" t="s">
        <v>13</v>
      </c>
      <c r="O558" s="15" t="s">
        <v>123</v>
      </c>
      <c r="P558" s="1">
        <v>-5361.9</v>
      </c>
    </row>
    <row r="559" spans="1:16" ht="15.75" hidden="1">
      <c r="A559" s="28">
        <f t="shared" si="42"/>
        <v>77</v>
      </c>
      <c r="B559" s="25" t="s">
        <v>77</v>
      </c>
      <c r="C559" s="26" t="s">
        <v>139</v>
      </c>
      <c r="D559" s="39"/>
      <c r="E559" s="30">
        <f t="shared" si="44"/>
        <v>-355948.85</v>
      </c>
      <c r="F559" s="8"/>
      <c r="G559" s="38">
        <f t="shared" si="43"/>
        <v>77</v>
      </c>
      <c r="H559" s="25" t="s">
        <v>77</v>
      </c>
      <c r="I559" s="26" t="s">
        <v>139</v>
      </c>
      <c r="J559" s="39"/>
      <c r="K559" s="33">
        <f t="shared" si="45"/>
        <v>-348523.4</v>
      </c>
      <c r="L559" s="33"/>
      <c r="M559" s="8"/>
      <c r="N559" s="14" t="s">
        <v>14</v>
      </c>
      <c r="O559" s="15" t="s">
        <v>123</v>
      </c>
      <c r="P559" s="1">
        <v>-1741.3</v>
      </c>
    </row>
    <row r="560" spans="1:16" ht="15.75" hidden="1">
      <c r="A560" s="28">
        <f t="shared" si="42"/>
        <v>78</v>
      </c>
      <c r="B560" s="14" t="s">
        <v>78</v>
      </c>
      <c r="C560" s="15" t="s">
        <v>139</v>
      </c>
      <c r="D560" s="39"/>
      <c r="E560" s="33">
        <f t="shared" si="44"/>
        <v>-355948.85</v>
      </c>
      <c r="F560" s="8"/>
      <c r="G560" s="38">
        <f t="shared" si="43"/>
        <v>78</v>
      </c>
      <c r="H560" s="14" t="s">
        <v>78</v>
      </c>
      <c r="I560" s="15" t="s">
        <v>139</v>
      </c>
      <c r="J560" s="39"/>
      <c r="K560" s="33">
        <f t="shared" si="45"/>
        <v>-348523.4</v>
      </c>
      <c r="L560" s="33"/>
      <c r="M560" s="8"/>
      <c r="N560" s="14" t="s">
        <v>15</v>
      </c>
      <c r="O560" s="15" t="s">
        <v>123</v>
      </c>
      <c r="P560" s="1">
        <v>-39240.699999999997</v>
      </c>
    </row>
    <row r="561" spans="1:16" ht="15.75" hidden="1">
      <c r="A561" s="28">
        <f t="shared" si="42"/>
        <v>79</v>
      </c>
      <c r="B561" s="14" t="s">
        <v>79</v>
      </c>
      <c r="C561" s="15" t="s">
        <v>139</v>
      </c>
      <c r="D561" s="39">
        <v>-1939.66</v>
      </c>
      <c r="E561" s="33">
        <f t="shared" si="44"/>
        <v>-357888.51</v>
      </c>
      <c r="F561" s="8"/>
      <c r="G561" s="38">
        <f t="shared" si="43"/>
        <v>79</v>
      </c>
      <c r="H561" s="14" t="s">
        <v>79</v>
      </c>
      <c r="I561" s="15" t="s">
        <v>139</v>
      </c>
      <c r="J561" s="39">
        <v>-1844.46</v>
      </c>
      <c r="K561" s="33">
        <f t="shared" si="45"/>
        <v>-350367.86</v>
      </c>
      <c r="L561" s="33">
        <f t="shared" si="46"/>
        <v>95.2</v>
      </c>
      <c r="M561" s="8"/>
      <c r="N561" s="14" t="s">
        <v>16</v>
      </c>
      <c r="O561" s="15" t="s">
        <v>123</v>
      </c>
      <c r="P561" s="1">
        <v>-5666.81</v>
      </c>
    </row>
    <row r="562" spans="1:16" ht="15.75" hidden="1">
      <c r="A562" s="28">
        <f t="shared" si="42"/>
        <v>80</v>
      </c>
      <c r="B562" s="14" t="s">
        <v>80</v>
      </c>
      <c r="C562" s="15" t="s">
        <v>139</v>
      </c>
      <c r="D562" s="39"/>
      <c r="E562" s="33">
        <f t="shared" si="44"/>
        <v>-357888.51</v>
      </c>
      <c r="F562" s="8"/>
      <c r="G562" s="38">
        <f t="shared" si="43"/>
        <v>80</v>
      </c>
      <c r="H562" s="14" t="s">
        <v>80</v>
      </c>
      <c r="I562" s="15" t="s">
        <v>139</v>
      </c>
      <c r="J562" s="39"/>
      <c r="K562" s="33">
        <f t="shared" si="45"/>
        <v>-350367.86</v>
      </c>
      <c r="L562" s="33"/>
      <c r="M562" s="8"/>
      <c r="N562" s="14" t="s">
        <v>17</v>
      </c>
      <c r="O562" s="15" t="s">
        <v>123</v>
      </c>
      <c r="P562" s="1"/>
    </row>
    <row r="563" spans="1:16" ht="15.75" hidden="1">
      <c r="A563" s="28">
        <f t="shared" si="42"/>
        <v>81</v>
      </c>
      <c r="B563" s="14" t="s">
        <v>81</v>
      </c>
      <c r="C563" s="15" t="s">
        <v>139</v>
      </c>
      <c r="D563" s="39">
        <v>-691.4</v>
      </c>
      <c r="E563" s="33">
        <f t="shared" si="44"/>
        <v>-358579.91</v>
      </c>
      <c r="F563" s="8"/>
      <c r="G563" s="38">
        <f t="shared" si="43"/>
        <v>81</v>
      </c>
      <c r="H563" s="14" t="s">
        <v>81</v>
      </c>
      <c r="I563" s="15" t="s">
        <v>139</v>
      </c>
      <c r="J563" s="39">
        <v>-596.5</v>
      </c>
      <c r="K563" s="33">
        <f t="shared" si="45"/>
        <v>-350964.36</v>
      </c>
      <c r="L563" s="33">
        <f t="shared" si="46"/>
        <v>94.9</v>
      </c>
      <c r="M563" s="8"/>
      <c r="N563" s="45" t="s">
        <v>124</v>
      </c>
      <c r="O563" s="46" t="s">
        <v>123</v>
      </c>
      <c r="P563" s="1">
        <v>-29787.200000000001</v>
      </c>
    </row>
    <row r="564" spans="1:16" ht="15.75" hidden="1">
      <c r="A564" s="28">
        <f t="shared" si="42"/>
        <v>82</v>
      </c>
      <c r="B564" s="14" t="s">
        <v>82</v>
      </c>
      <c r="C564" s="15" t="s">
        <v>139</v>
      </c>
      <c r="D564" s="39"/>
      <c r="E564" s="33">
        <f t="shared" si="44"/>
        <v>-358579.91</v>
      </c>
      <c r="F564" s="8"/>
      <c r="G564" s="38">
        <f t="shared" si="43"/>
        <v>82</v>
      </c>
      <c r="H564" s="14" t="s">
        <v>82</v>
      </c>
      <c r="I564" s="15" t="s">
        <v>139</v>
      </c>
      <c r="J564" s="39"/>
      <c r="K564" s="33">
        <f t="shared" si="45"/>
        <v>-350964.36</v>
      </c>
      <c r="L564" s="33"/>
      <c r="M564" s="8"/>
      <c r="N564" s="14" t="s">
        <v>19</v>
      </c>
      <c r="O564" s="15" t="s">
        <v>123</v>
      </c>
      <c r="P564" s="1">
        <v>-28629.99</v>
      </c>
    </row>
    <row r="565" spans="1:16" ht="15.75" hidden="1">
      <c r="A565" s="28">
        <f t="shared" si="42"/>
        <v>83</v>
      </c>
      <c r="B565" s="14" t="s">
        <v>83</v>
      </c>
      <c r="C565" s="15" t="s">
        <v>139</v>
      </c>
      <c r="D565" s="39">
        <v>-2224.13</v>
      </c>
      <c r="E565" s="33">
        <f t="shared" si="44"/>
        <v>-360804.04</v>
      </c>
      <c r="F565" s="8"/>
      <c r="G565" s="38">
        <f t="shared" si="43"/>
        <v>83</v>
      </c>
      <c r="H565" s="14" t="s">
        <v>83</v>
      </c>
      <c r="I565" s="15" t="s">
        <v>139</v>
      </c>
      <c r="J565" s="39">
        <v>-2360.33</v>
      </c>
      <c r="K565" s="33">
        <f t="shared" si="45"/>
        <v>-353324.69</v>
      </c>
      <c r="L565" s="33">
        <f t="shared" si="46"/>
        <v>-136.19999999999999</v>
      </c>
      <c r="M565" s="8"/>
      <c r="N565" s="14" t="s">
        <v>20</v>
      </c>
      <c r="O565" s="15" t="s">
        <v>123</v>
      </c>
      <c r="P565" s="1">
        <v>-7020.24</v>
      </c>
    </row>
    <row r="566" spans="1:16" ht="15.75" hidden="1">
      <c r="A566" s="28">
        <f t="shared" si="42"/>
        <v>84</v>
      </c>
      <c r="B566" s="14" t="s">
        <v>84</v>
      </c>
      <c r="C566" s="15" t="s">
        <v>139</v>
      </c>
      <c r="D566" s="39"/>
      <c r="E566" s="33">
        <f t="shared" si="44"/>
        <v>-360804.04</v>
      </c>
      <c r="F566" s="8"/>
      <c r="G566" s="38">
        <f t="shared" si="43"/>
        <v>84</v>
      </c>
      <c r="H566" s="14" t="s">
        <v>84</v>
      </c>
      <c r="I566" s="15" t="s">
        <v>139</v>
      </c>
      <c r="J566" s="39"/>
      <c r="K566" s="33">
        <f t="shared" si="45"/>
        <v>-353324.69</v>
      </c>
      <c r="L566" s="33"/>
      <c r="M566" s="8"/>
      <c r="N566" s="43" t="s">
        <v>21</v>
      </c>
      <c r="O566" s="23" t="s">
        <v>123</v>
      </c>
      <c r="P566" s="1">
        <v>-7814.6</v>
      </c>
    </row>
    <row r="567" spans="1:16" ht="15.75" hidden="1">
      <c r="A567" s="28">
        <f t="shared" si="42"/>
        <v>85</v>
      </c>
      <c r="B567" s="14" t="s">
        <v>85</v>
      </c>
      <c r="C567" s="15" t="s">
        <v>139</v>
      </c>
      <c r="D567" s="39">
        <v>-2970.3</v>
      </c>
      <c r="E567" s="33">
        <f t="shared" si="44"/>
        <v>-363774.34</v>
      </c>
      <c r="F567" s="8"/>
      <c r="G567" s="38">
        <f t="shared" si="43"/>
        <v>85</v>
      </c>
      <c r="H567" s="14" t="s">
        <v>85</v>
      </c>
      <c r="I567" s="15" t="s">
        <v>139</v>
      </c>
      <c r="J567" s="39">
        <v>-3458.4</v>
      </c>
      <c r="K567" s="33">
        <f t="shared" si="45"/>
        <v>-356783.09</v>
      </c>
      <c r="L567" s="33">
        <f t="shared" si="46"/>
        <v>-488.1</v>
      </c>
      <c r="M567" s="8"/>
      <c r="N567" s="25" t="s">
        <v>22</v>
      </c>
      <c r="O567" s="26" t="s">
        <v>126</v>
      </c>
      <c r="P567" s="1">
        <v>3307.47</v>
      </c>
    </row>
    <row r="568" spans="1:16" ht="15.75" hidden="1">
      <c r="A568" s="28">
        <f t="shared" si="42"/>
        <v>86</v>
      </c>
      <c r="B568" s="14" t="s">
        <v>86</v>
      </c>
      <c r="C568" s="15" t="s">
        <v>139</v>
      </c>
      <c r="D568" s="39"/>
      <c r="E568" s="33">
        <f t="shared" si="44"/>
        <v>-363774.34</v>
      </c>
      <c r="F568" s="8"/>
      <c r="G568" s="38">
        <f t="shared" si="43"/>
        <v>86</v>
      </c>
      <c r="H568" s="14" t="s">
        <v>86</v>
      </c>
      <c r="I568" s="15" t="s">
        <v>139</v>
      </c>
      <c r="J568" s="39">
        <v>-287</v>
      </c>
      <c r="K568" s="33">
        <f t="shared" si="45"/>
        <v>-357070.09</v>
      </c>
      <c r="L568" s="33">
        <f t="shared" si="46"/>
        <v>-287</v>
      </c>
      <c r="M568" s="8"/>
      <c r="N568" s="14" t="s">
        <v>23</v>
      </c>
      <c r="O568" s="15" t="s">
        <v>126</v>
      </c>
      <c r="P568" s="1">
        <v>-4253.3500000000004</v>
      </c>
    </row>
    <row r="569" spans="1:16" ht="15.75" hidden="1">
      <c r="A569" s="28">
        <f t="shared" si="42"/>
        <v>87</v>
      </c>
      <c r="B569" s="43" t="s">
        <v>87</v>
      </c>
      <c r="C569" s="23" t="s">
        <v>139</v>
      </c>
      <c r="D569" s="39">
        <v>-2276.14</v>
      </c>
      <c r="E569" s="44">
        <f t="shared" si="44"/>
        <v>-366050.48</v>
      </c>
      <c r="F569" s="8"/>
      <c r="G569" s="38">
        <f t="shared" si="43"/>
        <v>87</v>
      </c>
      <c r="H569" s="43" t="s">
        <v>87</v>
      </c>
      <c r="I569" s="23" t="s">
        <v>139</v>
      </c>
      <c r="J569" s="39">
        <v>-2511.84</v>
      </c>
      <c r="K569" s="33">
        <f t="shared" si="45"/>
        <v>-359581.93</v>
      </c>
      <c r="L569" s="33">
        <f t="shared" si="46"/>
        <v>-235.7</v>
      </c>
      <c r="M569" s="8"/>
      <c r="N569" s="14" t="s">
        <v>24</v>
      </c>
      <c r="O569" s="15" t="s">
        <v>126</v>
      </c>
      <c r="P569" s="1">
        <v>-929.5</v>
      </c>
    </row>
    <row r="570" spans="1:16" ht="15.75" hidden="1">
      <c r="A570" s="28">
        <f t="shared" si="42"/>
        <v>88</v>
      </c>
      <c r="B570" s="25" t="s">
        <v>88</v>
      </c>
      <c r="C570" s="26" t="s">
        <v>141</v>
      </c>
      <c r="D570" s="39">
        <v>-7879.7</v>
      </c>
      <c r="E570" s="30">
        <f t="shared" si="44"/>
        <v>-373930.18</v>
      </c>
      <c r="F570" s="8"/>
      <c r="G570" s="38">
        <f t="shared" si="43"/>
        <v>88</v>
      </c>
      <c r="H570" s="25" t="s">
        <v>88</v>
      </c>
      <c r="I570" s="26" t="s">
        <v>141</v>
      </c>
      <c r="J570" s="39">
        <v>-9186.2000000000007</v>
      </c>
      <c r="K570" s="33">
        <f t="shared" si="45"/>
        <v>-368768.13</v>
      </c>
      <c r="L570" s="33">
        <f t="shared" si="46"/>
        <v>-1306.5</v>
      </c>
      <c r="M570" s="8"/>
      <c r="N570" s="14" t="s">
        <v>128</v>
      </c>
      <c r="O570" s="15" t="s">
        <v>126</v>
      </c>
      <c r="P570" s="1"/>
    </row>
    <row r="571" spans="1:16" ht="15.75" hidden="1">
      <c r="A571" s="28">
        <f t="shared" si="42"/>
        <v>89</v>
      </c>
      <c r="B571" s="14" t="s">
        <v>89</v>
      </c>
      <c r="C571" s="15" t="s">
        <v>141</v>
      </c>
      <c r="D571" s="39">
        <v>-472.5</v>
      </c>
      <c r="E571" s="33">
        <f t="shared" si="44"/>
        <v>-374402.68</v>
      </c>
      <c r="F571" s="8"/>
      <c r="G571" s="38">
        <f t="shared" si="43"/>
        <v>89</v>
      </c>
      <c r="H571" s="14" t="s">
        <v>89</v>
      </c>
      <c r="I571" s="15" t="s">
        <v>141</v>
      </c>
      <c r="J571" s="39">
        <v>-665</v>
      </c>
      <c r="K571" s="33">
        <f t="shared" si="45"/>
        <v>-369433.13</v>
      </c>
      <c r="L571" s="33">
        <f t="shared" si="46"/>
        <v>-192.5</v>
      </c>
      <c r="M571" s="8"/>
      <c r="N571" s="47" t="s">
        <v>127</v>
      </c>
      <c r="O571" s="15" t="s">
        <v>126</v>
      </c>
      <c r="P571" s="1">
        <v>1714.64</v>
      </c>
    </row>
    <row r="572" spans="1:16" ht="15.75" hidden="1">
      <c r="A572" s="28">
        <f t="shared" si="42"/>
        <v>90</v>
      </c>
      <c r="B572" s="14" t="s">
        <v>90</v>
      </c>
      <c r="C572" s="15" t="s">
        <v>141</v>
      </c>
      <c r="D572" s="39"/>
      <c r="E572" s="33">
        <f t="shared" si="44"/>
        <v>-374402.68</v>
      </c>
      <c r="F572" s="8"/>
      <c r="G572" s="38">
        <f t="shared" si="43"/>
        <v>90</v>
      </c>
      <c r="H572" s="14" t="s">
        <v>90</v>
      </c>
      <c r="I572" s="15" t="s">
        <v>141</v>
      </c>
      <c r="J572" s="39"/>
      <c r="K572" s="33">
        <f t="shared" si="45"/>
        <v>-369433.13</v>
      </c>
      <c r="L572" s="33"/>
      <c r="M572" s="8"/>
      <c r="N572" s="14" t="s">
        <v>27</v>
      </c>
      <c r="O572" s="15" t="s">
        <v>126</v>
      </c>
      <c r="P572" s="1">
        <v>-862.45</v>
      </c>
    </row>
    <row r="573" spans="1:16" ht="15.75" hidden="1">
      <c r="A573" s="28">
        <f t="shared" si="42"/>
        <v>91</v>
      </c>
      <c r="B573" s="14" t="s">
        <v>91</v>
      </c>
      <c r="C573" s="15" t="s">
        <v>141</v>
      </c>
      <c r="D573" s="39"/>
      <c r="E573" s="33">
        <f t="shared" si="44"/>
        <v>-374402.68</v>
      </c>
      <c r="F573" s="8"/>
      <c r="G573" s="38">
        <f t="shared" si="43"/>
        <v>91</v>
      </c>
      <c r="H573" s="14" t="s">
        <v>91</v>
      </c>
      <c r="I573" s="15" t="s">
        <v>141</v>
      </c>
      <c r="J573" s="39"/>
      <c r="K573" s="33">
        <f t="shared" si="45"/>
        <v>-369433.13</v>
      </c>
      <c r="L573" s="33"/>
      <c r="M573" s="8"/>
      <c r="N573" s="14" t="s">
        <v>28</v>
      </c>
      <c r="O573" s="15" t="s">
        <v>126</v>
      </c>
      <c r="P573" s="1">
        <v>-199.84</v>
      </c>
    </row>
    <row r="574" spans="1:16" ht="15.75" hidden="1">
      <c r="A574" s="28">
        <f t="shared" si="42"/>
        <v>92</v>
      </c>
      <c r="B574" s="14" t="s">
        <v>92</v>
      </c>
      <c r="C574" s="15" t="s">
        <v>141</v>
      </c>
      <c r="D574" s="39">
        <v>-2557.9499999999998</v>
      </c>
      <c r="E574" s="33">
        <f t="shared" si="44"/>
        <v>-376960.63</v>
      </c>
      <c r="F574" s="8"/>
      <c r="G574" s="38">
        <f t="shared" si="43"/>
        <v>92</v>
      </c>
      <c r="H574" s="14" t="s">
        <v>92</v>
      </c>
      <c r="I574" s="15" t="s">
        <v>141</v>
      </c>
      <c r="J574" s="39">
        <v>-1962.55</v>
      </c>
      <c r="K574" s="33">
        <f t="shared" si="45"/>
        <v>-371395.68</v>
      </c>
      <c r="L574" s="33">
        <f t="shared" si="46"/>
        <v>595.4</v>
      </c>
      <c r="M574" s="8"/>
      <c r="N574" s="25" t="s">
        <v>29</v>
      </c>
      <c r="O574" s="26" t="s">
        <v>129</v>
      </c>
      <c r="P574" s="1"/>
    </row>
    <row r="575" spans="1:16" ht="15.75" hidden="1">
      <c r="A575" s="28">
        <f t="shared" si="42"/>
        <v>93</v>
      </c>
      <c r="B575" s="14" t="s">
        <v>93</v>
      </c>
      <c r="C575" s="15" t="s">
        <v>141</v>
      </c>
      <c r="D575" s="39">
        <v>-5776</v>
      </c>
      <c r="E575" s="33">
        <f t="shared" si="44"/>
        <v>-382736.63</v>
      </c>
      <c r="F575" s="8"/>
      <c r="G575" s="38">
        <f t="shared" si="43"/>
        <v>93</v>
      </c>
      <c r="H575" s="14" t="s">
        <v>93</v>
      </c>
      <c r="I575" s="15" t="s">
        <v>141</v>
      </c>
      <c r="J575" s="39">
        <v>-5986.1</v>
      </c>
      <c r="K575" s="33">
        <f t="shared" si="45"/>
        <v>-377381.78</v>
      </c>
      <c r="L575" s="33">
        <f t="shared" si="46"/>
        <v>-210.1</v>
      </c>
      <c r="M575" s="8"/>
      <c r="N575" s="14" t="s">
        <v>30</v>
      </c>
      <c r="O575" s="15" t="s">
        <v>129</v>
      </c>
      <c r="P575" s="1"/>
    </row>
    <row r="576" spans="1:16" ht="15.75" hidden="1">
      <c r="A576" s="28">
        <f>A575+1</f>
        <v>94</v>
      </c>
      <c r="B576" s="51" t="s">
        <v>94</v>
      </c>
      <c r="C576" s="52" t="s">
        <v>141</v>
      </c>
      <c r="D576" s="39">
        <v>-8184.93</v>
      </c>
      <c r="E576" s="44">
        <f t="shared" si="44"/>
        <v>-390921.56</v>
      </c>
      <c r="F576" s="8"/>
      <c r="G576" s="38">
        <f>G575+1</f>
        <v>94</v>
      </c>
      <c r="H576" s="51" t="s">
        <v>94</v>
      </c>
      <c r="I576" s="52" t="s">
        <v>141</v>
      </c>
      <c r="J576" s="39">
        <v>-8161.93</v>
      </c>
      <c r="K576" s="33">
        <f t="shared" si="45"/>
        <v>-385543.71</v>
      </c>
      <c r="L576" s="33">
        <f t="shared" si="46"/>
        <v>23</v>
      </c>
      <c r="M576" s="8"/>
      <c r="N576" s="14" t="s">
        <v>31</v>
      </c>
      <c r="O576" s="15" t="s">
        <v>129</v>
      </c>
      <c r="P576" s="1">
        <v>-1641.5</v>
      </c>
    </row>
    <row r="577" spans="1:16" ht="15.75" hidden="1">
      <c r="A577" s="28">
        <f>A576+1</f>
        <v>95</v>
      </c>
      <c r="B577" s="50" t="s">
        <v>95</v>
      </c>
      <c r="C577" s="49" t="s">
        <v>106</v>
      </c>
      <c r="D577" s="39"/>
      <c r="E577" s="33">
        <f t="shared" si="44"/>
        <v>-390921.56</v>
      </c>
      <c r="F577" s="8"/>
      <c r="G577" s="38">
        <f>G576+1</f>
        <v>95</v>
      </c>
      <c r="H577" s="50" t="s">
        <v>95</v>
      </c>
      <c r="I577" s="49" t="s">
        <v>106</v>
      </c>
      <c r="J577" s="39"/>
      <c r="K577" s="33">
        <f t="shared" si="45"/>
        <v>-385543.71</v>
      </c>
      <c r="L577" s="33"/>
      <c r="M577" s="8"/>
      <c r="N577" s="14" t="s">
        <v>32</v>
      </c>
      <c r="O577" s="15" t="s">
        <v>129</v>
      </c>
      <c r="P577" s="1"/>
    </row>
    <row r="578" spans="1:16" ht="15.75" hidden="1">
      <c r="A578" s="28">
        <f>A577+1</f>
        <v>96</v>
      </c>
      <c r="B578" s="14" t="s">
        <v>96</v>
      </c>
      <c r="C578" s="15" t="s">
        <v>106</v>
      </c>
      <c r="D578" s="39"/>
      <c r="E578" s="33">
        <f t="shared" si="44"/>
        <v>-390921.56</v>
      </c>
      <c r="F578" s="8"/>
      <c r="G578" s="38">
        <f>G577+1</f>
        <v>96</v>
      </c>
      <c r="H578" s="14" t="s">
        <v>96</v>
      </c>
      <c r="I578" s="15" t="s">
        <v>106</v>
      </c>
      <c r="J578" s="39"/>
      <c r="K578" s="33">
        <f t="shared" si="45"/>
        <v>-385543.71</v>
      </c>
      <c r="L578" s="33"/>
      <c r="M578" s="8"/>
      <c r="N578" s="14" t="s">
        <v>33</v>
      </c>
      <c r="O578" s="15" t="s">
        <v>129</v>
      </c>
      <c r="P578" s="1">
        <v>141.35</v>
      </c>
    </row>
    <row r="579" spans="1:16" ht="15.75" hidden="1">
      <c r="A579" s="28">
        <f>A578+1</f>
        <v>97</v>
      </c>
      <c r="B579" s="22" t="s">
        <v>116</v>
      </c>
      <c r="C579" s="23" t="s">
        <v>106</v>
      </c>
      <c r="D579" s="39"/>
      <c r="E579" s="44">
        <f t="shared" si="44"/>
        <v>-390921.56</v>
      </c>
      <c r="F579" s="8"/>
      <c r="G579" s="53">
        <f>G578+1</f>
        <v>97</v>
      </c>
      <c r="H579" s="22" t="s">
        <v>116</v>
      </c>
      <c r="I579" s="23" t="s">
        <v>106</v>
      </c>
      <c r="J579" s="39"/>
      <c r="K579" s="33">
        <f t="shared" si="45"/>
        <v>-385543.71</v>
      </c>
      <c r="L579" s="33"/>
      <c r="M579" s="8"/>
      <c r="N579" s="14" t="s">
        <v>34</v>
      </c>
      <c r="O579" s="15" t="s">
        <v>129</v>
      </c>
      <c r="P579" s="1">
        <v>-8661.1299999999992</v>
      </c>
    </row>
    <row r="580" spans="1:16" ht="15.75" hidden="1">
      <c r="A580" s="28">
        <f>A579+1</f>
        <v>98</v>
      </c>
      <c r="B580" s="8" t="s">
        <v>120</v>
      </c>
      <c r="C580" s="23" t="s">
        <v>106</v>
      </c>
      <c r="D580" s="55">
        <v>-2557.5</v>
      </c>
      <c r="E580" s="44">
        <f t="shared" si="44"/>
        <v>-393479.06</v>
      </c>
      <c r="F580" s="8"/>
      <c r="G580" s="53">
        <f>G579+1</f>
        <v>98</v>
      </c>
      <c r="H580" s="8" t="s">
        <v>120</v>
      </c>
      <c r="I580" s="23" t="s">
        <v>106</v>
      </c>
      <c r="J580" s="55">
        <v>-3281.9</v>
      </c>
      <c r="K580" s="33">
        <f t="shared" si="45"/>
        <v>-388825.61</v>
      </c>
      <c r="L580" s="33">
        <f t="shared" si="46"/>
        <v>-724.4</v>
      </c>
      <c r="M580" s="8"/>
      <c r="N580" s="14" t="s">
        <v>131</v>
      </c>
      <c r="O580" s="15" t="s">
        <v>129</v>
      </c>
      <c r="P580" s="1"/>
    </row>
    <row r="581" spans="1:16" ht="15.75" hidden="1">
      <c r="A581" s="56"/>
      <c r="B581" s="57" t="s">
        <v>102</v>
      </c>
      <c r="C581" s="58"/>
      <c r="D581" s="59">
        <f>SUM(D483:D580)</f>
        <v>-393479.06</v>
      </c>
      <c r="E581" s="59">
        <f>E580</f>
        <v>-393479.06</v>
      </c>
      <c r="F581" s="60"/>
      <c r="G581" s="60"/>
      <c r="H581" s="57" t="s">
        <v>102</v>
      </c>
      <c r="I581" s="60"/>
      <c r="J581" s="59">
        <f>SUM(J483:J580)</f>
        <v>-388825.61</v>
      </c>
      <c r="K581" s="59">
        <f>K580</f>
        <v>-388825.61</v>
      </c>
      <c r="L581" s="59">
        <f t="shared" si="46"/>
        <v>4653.4499999998397</v>
      </c>
      <c r="M581" s="8"/>
      <c r="N581" s="14" t="s">
        <v>36</v>
      </c>
      <c r="O581" s="15" t="s">
        <v>129</v>
      </c>
      <c r="P581" s="1">
        <v>-4151.43</v>
      </c>
    </row>
    <row r="582" spans="1:16" ht="15.75" hidden="1">
      <c r="A582" s="61"/>
      <c r="B582" s="61"/>
      <c r="C582" s="61"/>
      <c r="D582" s="8"/>
      <c r="E582" s="8"/>
      <c r="F582" s="8"/>
      <c r="G582" s="8"/>
      <c r="H582" s="8"/>
      <c r="I582" s="8"/>
      <c r="J582" s="8"/>
      <c r="K582" s="8"/>
      <c r="L582" s="8"/>
      <c r="M582" s="62">
        <f>J581-D581</f>
        <v>4653.4499999998397</v>
      </c>
      <c r="N582" s="14" t="s">
        <v>37</v>
      </c>
      <c r="O582" s="15" t="s">
        <v>129</v>
      </c>
      <c r="P582" s="1">
        <v>-12610.43</v>
      </c>
    </row>
    <row r="583" spans="1:16" ht="15.75" hidden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62">
        <f>SUM(J483:J580)</f>
        <v>-388825.61</v>
      </c>
      <c r="N583" s="43" t="s">
        <v>38</v>
      </c>
      <c r="O583" s="23" t="s">
        <v>130</v>
      </c>
      <c r="P583" s="1">
        <v>-456.6</v>
      </c>
    </row>
    <row r="584" spans="1:16" ht="15.75" hidden="1">
      <c r="A584" s="127" t="s">
        <v>151</v>
      </c>
      <c r="B584" s="128"/>
      <c r="C584" s="128"/>
      <c r="D584" s="128"/>
      <c r="E584" s="129"/>
      <c r="F584" s="12"/>
      <c r="G584" s="127" t="s">
        <v>154</v>
      </c>
      <c r="H584" s="128"/>
      <c r="I584" s="128"/>
      <c r="J584" s="128"/>
      <c r="K584" s="129"/>
      <c r="L584" s="130" t="s">
        <v>153</v>
      </c>
      <c r="M584" s="62">
        <f>SUM(D483:D580)</f>
        <v>-393479.06</v>
      </c>
      <c r="N584" s="25" t="s">
        <v>39</v>
      </c>
      <c r="O584" s="26" t="s">
        <v>132</v>
      </c>
      <c r="P584" s="1">
        <v>3699.95</v>
      </c>
    </row>
    <row r="585" spans="1:16" ht="31.5" hidden="1">
      <c r="A585" s="18" t="s">
        <v>112</v>
      </c>
      <c r="B585" s="19" t="s">
        <v>0</v>
      </c>
      <c r="C585" s="12" t="s">
        <v>113</v>
      </c>
      <c r="D585" s="20" t="s">
        <v>114</v>
      </c>
      <c r="E585" s="20" t="s">
        <v>115</v>
      </c>
      <c r="F585" s="63"/>
      <c r="G585" s="13" t="s">
        <v>112</v>
      </c>
      <c r="H585" s="12" t="s">
        <v>0</v>
      </c>
      <c r="I585" s="12" t="s">
        <v>113</v>
      </c>
      <c r="J585" s="12"/>
      <c r="K585" s="12" t="s">
        <v>115</v>
      </c>
      <c r="L585" s="131"/>
      <c r="M585" s="62">
        <f>M583-M584</f>
        <v>4653.4499999998397</v>
      </c>
      <c r="N585" s="14" t="s">
        <v>40</v>
      </c>
      <c r="O585" s="15" t="s">
        <v>132</v>
      </c>
      <c r="P585" s="1">
        <v>991.6</v>
      </c>
    </row>
    <row r="586" spans="1:16" ht="15.75" hidden="1">
      <c r="A586" s="64">
        <v>1</v>
      </c>
      <c r="B586" s="14" t="s">
        <v>8</v>
      </c>
      <c r="C586" s="15" t="s">
        <v>119</v>
      </c>
      <c r="D586" s="32">
        <v>1250</v>
      </c>
      <c r="E586" s="66">
        <f>D586</f>
        <v>1250</v>
      </c>
      <c r="F586" s="67"/>
      <c r="G586" s="68">
        <v>1</v>
      </c>
      <c r="H586" s="14" t="s">
        <v>8</v>
      </c>
      <c r="I586" s="15" t="s">
        <v>119</v>
      </c>
      <c r="J586" s="32"/>
      <c r="K586" s="69">
        <f>J586</f>
        <v>0</v>
      </c>
      <c r="L586" s="70">
        <f t="shared" ref="L586:L636" si="47">J586-D586</f>
        <v>-1250</v>
      </c>
      <c r="M586" s="62"/>
      <c r="N586" s="14" t="s">
        <v>41</v>
      </c>
      <c r="O586" s="15" t="s">
        <v>132</v>
      </c>
      <c r="P586" s="1">
        <v>-15936.94</v>
      </c>
    </row>
    <row r="587" spans="1:16" ht="15.75" hidden="1">
      <c r="A587" s="71">
        <f>1+A586</f>
        <v>2</v>
      </c>
      <c r="B587" s="25" t="s">
        <v>3</v>
      </c>
      <c r="C587" s="15" t="s">
        <v>119</v>
      </c>
      <c r="D587" s="72"/>
      <c r="E587" s="73">
        <f>D587+E586</f>
        <v>1250</v>
      </c>
      <c r="F587" s="74"/>
      <c r="G587" s="75">
        <f>1+G586</f>
        <v>2</v>
      </c>
      <c r="H587" s="25" t="s">
        <v>3</v>
      </c>
      <c r="I587" s="15" t="s">
        <v>119</v>
      </c>
      <c r="J587" s="72"/>
      <c r="K587" s="69">
        <f>K586+J587</f>
        <v>0</v>
      </c>
      <c r="L587" s="70"/>
      <c r="M587" s="62"/>
      <c r="N587" s="14" t="s">
        <v>42</v>
      </c>
      <c r="O587" s="15" t="s">
        <v>132</v>
      </c>
      <c r="P587" s="1">
        <v>-2373.0700000000002</v>
      </c>
    </row>
    <row r="588" spans="1:16" ht="15.75" hidden="1">
      <c r="A588" s="71">
        <f t="shared" ref="A588:A637" si="48">1+A587</f>
        <v>3</v>
      </c>
      <c r="B588" s="25" t="s">
        <v>10</v>
      </c>
      <c r="C588" s="15" t="s">
        <v>119</v>
      </c>
      <c r="D588" s="76"/>
      <c r="E588" s="73">
        <f t="shared" ref="E588:E637" si="49">D588+E587</f>
        <v>1250</v>
      </c>
      <c r="F588" s="77"/>
      <c r="G588" s="75">
        <f t="shared" ref="G588:G637" si="50">1+G587</f>
        <v>3</v>
      </c>
      <c r="H588" s="25" t="s">
        <v>10</v>
      </c>
      <c r="I588" s="15" t="s">
        <v>119</v>
      </c>
      <c r="J588" s="76"/>
      <c r="K588" s="69">
        <f t="shared" ref="K588:K637" si="51">K587+J588</f>
        <v>0</v>
      </c>
      <c r="L588" s="70"/>
      <c r="M588" s="62"/>
      <c r="N588" s="14" t="s">
        <v>43</v>
      </c>
      <c r="O588" s="15" t="s">
        <v>132</v>
      </c>
      <c r="P588" s="1">
        <v>-60.5</v>
      </c>
    </row>
    <row r="589" spans="1:16" ht="15.75" hidden="1">
      <c r="A589" s="71">
        <f t="shared" si="48"/>
        <v>4</v>
      </c>
      <c r="B589" s="78" t="s">
        <v>11</v>
      </c>
      <c r="C589" s="79" t="s">
        <v>119</v>
      </c>
      <c r="D589" s="39">
        <v>558.88</v>
      </c>
      <c r="E589" s="73">
        <f t="shared" si="49"/>
        <v>1808.88</v>
      </c>
      <c r="F589" s="77"/>
      <c r="G589" s="75">
        <f t="shared" si="50"/>
        <v>4</v>
      </c>
      <c r="H589" s="43" t="s">
        <v>11</v>
      </c>
      <c r="I589" s="23" t="s">
        <v>119</v>
      </c>
      <c r="J589" s="39">
        <v>641.67999999999995</v>
      </c>
      <c r="K589" s="69">
        <f t="shared" si="51"/>
        <v>641.67999999999995</v>
      </c>
      <c r="L589" s="70">
        <f t="shared" si="47"/>
        <v>82.8</v>
      </c>
      <c r="M589" s="62"/>
      <c r="N589" s="14" t="s">
        <v>44</v>
      </c>
      <c r="O589" s="15" t="s">
        <v>132</v>
      </c>
      <c r="P589" s="1">
        <v>-2986.88</v>
      </c>
    </row>
    <row r="590" spans="1:16" ht="15.75" hidden="1">
      <c r="A590" s="71">
        <f t="shared" si="48"/>
        <v>5</v>
      </c>
      <c r="B590" s="14" t="s">
        <v>22</v>
      </c>
      <c r="C590" s="15" t="s">
        <v>126</v>
      </c>
      <c r="D590" s="39">
        <v>2843.57</v>
      </c>
      <c r="E590" s="73">
        <f t="shared" si="49"/>
        <v>4652.45</v>
      </c>
      <c r="F590" s="77"/>
      <c r="G590" s="75">
        <f t="shared" si="50"/>
        <v>5</v>
      </c>
      <c r="H590" s="14" t="s">
        <v>22</v>
      </c>
      <c r="I590" s="15" t="s">
        <v>126</v>
      </c>
      <c r="J590" s="39">
        <v>3307.47</v>
      </c>
      <c r="K590" s="69">
        <f t="shared" si="51"/>
        <v>3949.15</v>
      </c>
      <c r="L590" s="70">
        <f t="shared" si="47"/>
        <v>463.9</v>
      </c>
      <c r="M590" s="62"/>
      <c r="N590" s="48" t="s">
        <v>45</v>
      </c>
      <c r="O590" s="49" t="s">
        <v>132</v>
      </c>
      <c r="P590" s="1">
        <v>-149.22999999999999</v>
      </c>
    </row>
    <row r="591" spans="1:16" ht="15.75" hidden="1">
      <c r="A591" s="71">
        <f t="shared" si="48"/>
        <v>6</v>
      </c>
      <c r="B591" s="14" t="s">
        <v>23</v>
      </c>
      <c r="C591" s="15" t="s">
        <v>126</v>
      </c>
      <c r="D591" s="76"/>
      <c r="E591" s="73">
        <f t="shared" si="49"/>
        <v>4652.45</v>
      </c>
      <c r="F591" s="77"/>
      <c r="G591" s="75">
        <f t="shared" si="50"/>
        <v>6</v>
      </c>
      <c r="H591" s="14" t="s">
        <v>23</v>
      </c>
      <c r="I591" s="15" t="s">
        <v>126</v>
      </c>
      <c r="J591" s="76"/>
      <c r="K591" s="69">
        <f t="shared" si="51"/>
        <v>3949.15</v>
      </c>
      <c r="L591" s="70"/>
      <c r="M591" s="62"/>
      <c r="N591" s="50" t="s">
        <v>46</v>
      </c>
      <c r="O591" s="49" t="s">
        <v>132</v>
      </c>
      <c r="P591" s="1">
        <v>-18613.8</v>
      </c>
    </row>
    <row r="592" spans="1:16" ht="15.75" hidden="1">
      <c r="A592" s="71">
        <f t="shared" si="48"/>
        <v>7</v>
      </c>
      <c r="B592" s="14" t="s">
        <v>24</v>
      </c>
      <c r="C592" s="15" t="s">
        <v>126</v>
      </c>
      <c r="D592" s="76"/>
      <c r="E592" s="73">
        <f t="shared" si="49"/>
        <v>4652.45</v>
      </c>
      <c r="F592" s="77"/>
      <c r="G592" s="75">
        <f t="shared" si="50"/>
        <v>7</v>
      </c>
      <c r="H592" s="14" t="s">
        <v>24</v>
      </c>
      <c r="I592" s="15" t="s">
        <v>126</v>
      </c>
      <c r="J592" s="76"/>
      <c r="K592" s="69">
        <f t="shared" si="51"/>
        <v>3949.15</v>
      </c>
      <c r="L592" s="70"/>
      <c r="M592" s="62"/>
      <c r="N592" s="14" t="s">
        <v>47</v>
      </c>
      <c r="O592" s="15" t="s">
        <v>132</v>
      </c>
      <c r="P592" s="1">
        <v>-545.87</v>
      </c>
    </row>
    <row r="593" spans="1:16" ht="15.75" hidden="1">
      <c r="A593" s="71">
        <f t="shared" si="48"/>
        <v>8</v>
      </c>
      <c r="B593" s="14" t="s">
        <v>33</v>
      </c>
      <c r="C593" s="15" t="s">
        <v>126</v>
      </c>
      <c r="D593" s="39">
        <v>310.35000000000002</v>
      </c>
      <c r="E593" s="73">
        <f t="shared" si="49"/>
        <v>4962.8</v>
      </c>
      <c r="F593" s="77"/>
      <c r="G593" s="75">
        <f t="shared" si="50"/>
        <v>8</v>
      </c>
      <c r="H593" s="14" t="s">
        <v>33</v>
      </c>
      <c r="I593" s="15" t="s">
        <v>126</v>
      </c>
      <c r="J593" s="39">
        <v>141.35</v>
      </c>
      <c r="K593" s="69">
        <f t="shared" si="51"/>
        <v>4090.5</v>
      </c>
      <c r="L593" s="70">
        <f t="shared" si="47"/>
        <v>-169</v>
      </c>
      <c r="M593" s="62"/>
      <c r="N593" s="14" t="s">
        <v>48</v>
      </c>
      <c r="O593" s="15" t="s">
        <v>132</v>
      </c>
      <c r="P593" s="1">
        <v>83.98</v>
      </c>
    </row>
    <row r="594" spans="1:16" ht="15.75" hidden="1">
      <c r="A594" s="71">
        <f t="shared" si="48"/>
        <v>9</v>
      </c>
      <c r="B594" s="47" t="s">
        <v>127</v>
      </c>
      <c r="C594" s="15" t="s">
        <v>126</v>
      </c>
      <c r="D594" s="39">
        <v>541.84</v>
      </c>
      <c r="E594" s="73">
        <f t="shared" si="49"/>
        <v>5504.64</v>
      </c>
      <c r="F594" s="77"/>
      <c r="G594" s="75">
        <f t="shared" si="50"/>
        <v>9</v>
      </c>
      <c r="H594" s="47" t="s">
        <v>127</v>
      </c>
      <c r="I594" s="15" t="s">
        <v>126</v>
      </c>
      <c r="J594" s="39">
        <v>1714.64</v>
      </c>
      <c r="K594" s="69">
        <f t="shared" si="51"/>
        <v>5805.14</v>
      </c>
      <c r="L594" s="70">
        <f t="shared" si="47"/>
        <v>1172.8</v>
      </c>
      <c r="M594" s="62"/>
      <c r="N594" s="14" t="s">
        <v>49</v>
      </c>
      <c r="O594" s="15" t="s">
        <v>132</v>
      </c>
      <c r="P594" s="1">
        <v>-807.32</v>
      </c>
    </row>
    <row r="595" spans="1:16" ht="15.75" hidden="1">
      <c r="A595" s="71">
        <f t="shared" si="48"/>
        <v>10</v>
      </c>
      <c r="B595" s="14" t="s">
        <v>40</v>
      </c>
      <c r="C595" s="15" t="s">
        <v>129</v>
      </c>
      <c r="D595" s="39">
        <v>445.94</v>
      </c>
      <c r="E595" s="73">
        <f t="shared" si="49"/>
        <v>5950.58</v>
      </c>
      <c r="F595" s="77"/>
      <c r="G595" s="75">
        <f t="shared" si="50"/>
        <v>10</v>
      </c>
      <c r="H595" s="14" t="s">
        <v>40</v>
      </c>
      <c r="I595" s="15" t="s">
        <v>129</v>
      </c>
      <c r="J595" s="39">
        <v>991.6</v>
      </c>
      <c r="K595" s="69">
        <f t="shared" si="51"/>
        <v>6796.74</v>
      </c>
      <c r="L595" s="70">
        <f t="shared" si="47"/>
        <v>545.66</v>
      </c>
      <c r="M595" s="62"/>
      <c r="N595" s="14" t="s">
        <v>50</v>
      </c>
      <c r="O595" s="15" t="s">
        <v>132</v>
      </c>
      <c r="P595" s="1">
        <v>-333.46</v>
      </c>
    </row>
    <row r="596" spans="1:16" ht="15.75" hidden="1">
      <c r="A596" s="71">
        <f t="shared" si="48"/>
        <v>11</v>
      </c>
      <c r="B596" s="43" t="s">
        <v>38</v>
      </c>
      <c r="C596" s="15" t="s">
        <v>130</v>
      </c>
      <c r="D596" s="72"/>
      <c r="E596" s="73">
        <f t="shared" si="49"/>
        <v>5950.58</v>
      </c>
      <c r="F596" s="77"/>
      <c r="G596" s="75">
        <f t="shared" si="50"/>
        <v>11</v>
      </c>
      <c r="H596" s="43" t="s">
        <v>38</v>
      </c>
      <c r="I596" s="23" t="s">
        <v>130</v>
      </c>
      <c r="J596" s="72"/>
      <c r="K596" s="69">
        <f t="shared" si="51"/>
        <v>6796.74</v>
      </c>
      <c r="L596" s="70"/>
      <c r="M596" s="62"/>
      <c r="N596" s="25" t="s">
        <v>51</v>
      </c>
      <c r="O596" s="26" t="s">
        <v>133</v>
      </c>
      <c r="P596" s="1">
        <v>1667.16</v>
      </c>
    </row>
    <row r="597" spans="1:16" ht="15.75" hidden="1">
      <c r="A597" s="71">
        <f t="shared" si="48"/>
        <v>12</v>
      </c>
      <c r="B597" s="25" t="s">
        <v>39</v>
      </c>
      <c r="C597" s="26" t="s">
        <v>132</v>
      </c>
      <c r="D597" s="39">
        <v>3279.45</v>
      </c>
      <c r="E597" s="73">
        <f t="shared" si="49"/>
        <v>9230.0300000000007</v>
      </c>
      <c r="F597" s="77"/>
      <c r="G597" s="75">
        <f t="shared" si="50"/>
        <v>12</v>
      </c>
      <c r="H597" s="25" t="s">
        <v>39</v>
      </c>
      <c r="I597" s="26" t="s">
        <v>132</v>
      </c>
      <c r="J597" s="39">
        <v>3699.95</v>
      </c>
      <c r="K597" s="69">
        <f t="shared" si="51"/>
        <v>10496.69</v>
      </c>
      <c r="L597" s="70">
        <f t="shared" si="47"/>
        <v>420.5</v>
      </c>
      <c r="M597" s="62"/>
      <c r="N597" s="14" t="s">
        <v>52</v>
      </c>
      <c r="O597" s="15" t="s">
        <v>133</v>
      </c>
      <c r="P597" s="1">
        <v>827.78</v>
      </c>
    </row>
    <row r="598" spans="1:16" ht="15.75" hidden="1">
      <c r="A598" s="71">
        <f t="shared" si="48"/>
        <v>13</v>
      </c>
      <c r="B598" s="14" t="s">
        <v>42</v>
      </c>
      <c r="C598" s="15" t="s">
        <v>132</v>
      </c>
      <c r="D598" s="80"/>
      <c r="E598" s="73">
        <f t="shared" si="49"/>
        <v>9230.0300000000007</v>
      </c>
      <c r="F598" s="77"/>
      <c r="G598" s="75">
        <f t="shared" si="50"/>
        <v>13</v>
      </c>
      <c r="H598" s="14" t="s">
        <v>42</v>
      </c>
      <c r="I598" s="15" t="s">
        <v>132</v>
      </c>
      <c r="J598" s="80"/>
      <c r="K598" s="69">
        <f t="shared" si="51"/>
        <v>10496.69</v>
      </c>
      <c r="L598" s="70"/>
      <c r="M598" s="62"/>
      <c r="N598" s="14" t="s">
        <v>53</v>
      </c>
      <c r="O598" s="15" t="s">
        <v>133</v>
      </c>
      <c r="P598" s="1">
        <v>-610.22</v>
      </c>
    </row>
    <row r="599" spans="1:16" ht="15.75" hidden="1">
      <c r="A599" s="71">
        <f t="shared" si="48"/>
        <v>14</v>
      </c>
      <c r="B599" s="48" t="s">
        <v>45</v>
      </c>
      <c r="C599" s="49" t="s">
        <v>132</v>
      </c>
      <c r="D599" s="39">
        <v>103.27</v>
      </c>
      <c r="E599" s="73">
        <f t="shared" si="49"/>
        <v>9333.2999999999993</v>
      </c>
      <c r="F599" s="77"/>
      <c r="G599" s="75">
        <f t="shared" si="50"/>
        <v>14</v>
      </c>
      <c r="H599" s="48" t="s">
        <v>45</v>
      </c>
      <c r="I599" s="49" t="s">
        <v>132</v>
      </c>
      <c r="J599" s="39"/>
      <c r="K599" s="69">
        <f t="shared" si="51"/>
        <v>10496.69</v>
      </c>
      <c r="L599" s="70">
        <f t="shared" si="47"/>
        <v>-103.27</v>
      </c>
      <c r="M599" s="62"/>
      <c r="N599" s="14" t="s">
        <v>54</v>
      </c>
      <c r="O599" s="15" t="s">
        <v>133</v>
      </c>
      <c r="P599" s="1">
        <v>2930.817</v>
      </c>
    </row>
    <row r="600" spans="1:16" ht="15.75" hidden="1">
      <c r="A600" s="71">
        <f t="shared" si="48"/>
        <v>15</v>
      </c>
      <c r="B600" s="14" t="s">
        <v>47</v>
      </c>
      <c r="C600" s="15" t="s">
        <v>132</v>
      </c>
      <c r="D600" s="37"/>
      <c r="E600" s="73">
        <f t="shared" si="49"/>
        <v>9333.2999999999993</v>
      </c>
      <c r="F600" s="77"/>
      <c r="G600" s="75">
        <f t="shared" si="50"/>
        <v>15</v>
      </c>
      <c r="H600" s="14" t="s">
        <v>47</v>
      </c>
      <c r="I600" s="15" t="s">
        <v>132</v>
      </c>
      <c r="J600" s="37"/>
      <c r="K600" s="69">
        <f t="shared" si="51"/>
        <v>10496.69</v>
      </c>
      <c r="L600" s="70"/>
      <c r="M600" s="62"/>
      <c r="N600" s="14" t="s">
        <v>55</v>
      </c>
      <c r="O600" s="15" t="s">
        <v>133</v>
      </c>
      <c r="P600" s="1">
        <v>-5489.63</v>
      </c>
    </row>
    <row r="601" spans="1:16" ht="15.75" hidden="1">
      <c r="A601" s="71">
        <f t="shared" si="48"/>
        <v>16</v>
      </c>
      <c r="B601" s="14" t="s">
        <v>48</v>
      </c>
      <c r="C601" s="15" t="s">
        <v>132</v>
      </c>
      <c r="D601" s="76"/>
      <c r="E601" s="73">
        <f t="shared" si="49"/>
        <v>9333.2999999999993</v>
      </c>
      <c r="F601" s="77"/>
      <c r="G601" s="75">
        <f t="shared" si="50"/>
        <v>16</v>
      </c>
      <c r="H601" s="14" t="s">
        <v>48</v>
      </c>
      <c r="I601" s="15" t="s">
        <v>132</v>
      </c>
      <c r="J601" s="39">
        <v>83.98</v>
      </c>
      <c r="K601" s="69">
        <f t="shared" si="51"/>
        <v>10580.67</v>
      </c>
      <c r="L601" s="70">
        <f t="shared" si="47"/>
        <v>83.98</v>
      </c>
      <c r="M601" s="62"/>
      <c r="N601" s="14" t="s">
        <v>56</v>
      </c>
      <c r="O601" s="15" t="s">
        <v>133</v>
      </c>
      <c r="P601" s="1">
        <v>-3960.12</v>
      </c>
    </row>
    <row r="602" spans="1:16" ht="15.75" hidden="1">
      <c r="A602" s="71">
        <f t="shared" si="48"/>
        <v>17</v>
      </c>
      <c r="B602" s="14" t="s">
        <v>49</v>
      </c>
      <c r="C602" s="15" t="s">
        <v>132</v>
      </c>
      <c r="D602" s="72"/>
      <c r="E602" s="73">
        <f t="shared" si="49"/>
        <v>9333.2999999999993</v>
      </c>
      <c r="F602" s="77"/>
      <c r="G602" s="75">
        <f t="shared" si="50"/>
        <v>17</v>
      </c>
      <c r="H602" s="14" t="s">
        <v>49</v>
      </c>
      <c r="I602" s="15" t="s">
        <v>132</v>
      </c>
      <c r="J602" s="72"/>
      <c r="K602" s="69">
        <f t="shared" si="51"/>
        <v>10580.67</v>
      </c>
      <c r="L602" s="70"/>
      <c r="M602" s="62"/>
      <c r="N602" s="14" t="s">
        <v>57</v>
      </c>
      <c r="O602" s="15" t="s">
        <v>133</v>
      </c>
      <c r="P602" s="1">
        <v>449.32</v>
      </c>
    </row>
    <row r="603" spans="1:16" ht="15.75" hidden="1">
      <c r="A603" s="71">
        <f t="shared" si="48"/>
        <v>18</v>
      </c>
      <c r="B603" s="14" t="s">
        <v>50</v>
      </c>
      <c r="C603" s="15" t="s">
        <v>132</v>
      </c>
      <c r="D603" s="76"/>
      <c r="E603" s="73">
        <f t="shared" si="49"/>
        <v>9333.2999999999993</v>
      </c>
      <c r="F603" s="77"/>
      <c r="G603" s="75">
        <f t="shared" si="50"/>
        <v>18</v>
      </c>
      <c r="H603" s="14" t="s">
        <v>50</v>
      </c>
      <c r="I603" s="15" t="s">
        <v>132</v>
      </c>
      <c r="J603" s="76"/>
      <c r="K603" s="69">
        <f t="shared" si="51"/>
        <v>10580.67</v>
      </c>
      <c r="L603" s="70"/>
      <c r="M603" s="62"/>
      <c r="N603" s="43" t="s">
        <v>58</v>
      </c>
      <c r="O603" s="23" t="s">
        <v>133</v>
      </c>
      <c r="P603" s="1">
        <v>-10949.5</v>
      </c>
    </row>
    <row r="604" spans="1:16" ht="15.75" hidden="1">
      <c r="A604" s="71">
        <f t="shared" si="48"/>
        <v>19</v>
      </c>
      <c r="B604" s="25" t="s">
        <v>51</v>
      </c>
      <c r="C604" s="81" t="s">
        <v>133</v>
      </c>
      <c r="D604" s="39">
        <v>209.16</v>
      </c>
      <c r="E604" s="73">
        <f t="shared" si="49"/>
        <v>9542.4599999999991</v>
      </c>
      <c r="F604" s="77"/>
      <c r="G604" s="75">
        <f t="shared" si="50"/>
        <v>19</v>
      </c>
      <c r="H604" s="25" t="s">
        <v>51</v>
      </c>
      <c r="I604" s="26" t="s">
        <v>133</v>
      </c>
      <c r="J604" s="39">
        <v>1667.16</v>
      </c>
      <c r="K604" s="69">
        <f t="shared" si="51"/>
        <v>12247.83</v>
      </c>
      <c r="L604" s="70">
        <f t="shared" si="47"/>
        <v>1458</v>
      </c>
      <c r="M604" s="62"/>
      <c r="N604" s="25" t="s">
        <v>59</v>
      </c>
      <c r="O604" s="26" t="s">
        <v>134</v>
      </c>
      <c r="P604" s="1">
        <v>744.11</v>
      </c>
    </row>
    <row r="605" spans="1:16" ht="15.75" hidden="1">
      <c r="A605" s="71">
        <f t="shared" si="48"/>
        <v>20</v>
      </c>
      <c r="B605" s="14" t="s">
        <v>52</v>
      </c>
      <c r="C605" s="15" t="s">
        <v>133</v>
      </c>
      <c r="D605" s="39">
        <v>436.58</v>
      </c>
      <c r="E605" s="73">
        <f t="shared" si="49"/>
        <v>9979.0400000000009</v>
      </c>
      <c r="F605" s="77"/>
      <c r="G605" s="75">
        <f t="shared" si="50"/>
        <v>20</v>
      </c>
      <c r="H605" s="14" t="s">
        <v>52</v>
      </c>
      <c r="I605" s="15" t="s">
        <v>133</v>
      </c>
      <c r="J605" s="39">
        <v>827.78</v>
      </c>
      <c r="K605" s="69">
        <f t="shared" si="51"/>
        <v>13075.61</v>
      </c>
      <c r="L605" s="70">
        <f t="shared" si="47"/>
        <v>391.2</v>
      </c>
      <c r="M605" s="62"/>
      <c r="N605" s="14" t="s">
        <v>60</v>
      </c>
      <c r="O605" s="15" t="s">
        <v>134</v>
      </c>
      <c r="P605" s="1">
        <v>-34.58</v>
      </c>
    </row>
    <row r="606" spans="1:16" ht="15.75" hidden="1">
      <c r="A606" s="71">
        <f t="shared" si="48"/>
        <v>21</v>
      </c>
      <c r="B606" s="14" t="s">
        <v>53</v>
      </c>
      <c r="C606" s="15" t="s">
        <v>133</v>
      </c>
      <c r="D606" s="72"/>
      <c r="E606" s="73">
        <f t="shared" si="49"/>
        <v>9979.0400000000009</v>
      </c>
      <c r="F606" s="77"/>
      <c r="G606" s="75">
        <f t="shared" si="50"/>
        <v>21</v>
      </c>
      <c r="H606" s="14" t="s">
        <v>53</v>
      </c>
      <c r="I606" s="15" t="s">
        <v>133</v>
      </c>
      <c r="J606" s="72"/>
      <c r="K606" s="69">
        <f t="shared" si="51"/>
        <v>13075.61</v>
      </c>
      <c r="L606" s="70"/>
      <c r="M606" s="62"/>
      <c r="N606" s="14" t="s">
        <v>61</v>
      </c>
      <c r="O606" s="15" t="s">
        <v>134</v>
      </c>
      <c r="P606" s="1">
        <v>119.21</v>
      </c>
    </row>
    <row r="607" spans="1:16" ht="15.75" hidden="1">
      <c r="A607" s="71">
        <f t="shared" si="48"/>
        <v>22</v>
      </c>
      <c r="B607" s="14" t="s">
        <v>54</v>
      </c>
      <c r="C607" s="15" t="s">
        <v>133</v>
      </c>
      <c r="D607" s="39">
        <v>3130.0569999999998</v>
      </c>
      <c r="E607" s="73">
        <f t="shared" si="49"/>
        <v>13109.097</v>
      </c>
      <c r="F607" s="77"/>
      <c r="G607" s="75">
        <f t="shared" si="50"/>
        <v>22</v>
      </c>
      <c r="H607" s="14" t="s">
        <v>54</v>
      </c>
      <c r="I607" s="15" t="s">
        <v>133</v>
      </c>
      <c r="J607" s="39">
        <v>2930.817</v>
      </c>
      <c r="K607" s="69">
        <f t="shared" si="51"/>
        <v>16006.427</v>
      </c>
      <c r="L607" s="70">
        <f t="shared" si="47"/>
        <v>-199.24</v>
      </c>
      <c r="M607" s="62"/>
      <c r="N607" s="14" t="s">
        <v>62</v>
      </c>
      <c r="O607" s="15" t="s">
        <v>134</v>
      </c>
      <c r="P607" s="1">
        <v>857.85</v>
      </c>
    </row>
    <row r="608" spans="1:16" ht="15.75" hidden="1">
      <c r="A608" s="71">
        <f t="shared" si="48"/>
        <v>23</v>
      </c>
      <c r="B608" s="14" t="s">
        <v>57</v>
      </c>
      <c r="C608" s="15" t="s">
        <v>133</v>
      </c>
      <c r="D608" s="39">
        <v>460.22</v>
      </c>
      <c r="E608" s="73">
        <f t="shared" si="49"/>
        <v>13569.316999999999</v>
      </c>
      <c r="F608" s="77"/>
      <c r="G608" s="75">
        <f t="shared" si="50"/>
        <v>23</v>
      </c>
      <c r="H608" s="14" t="s">
        <v>57</v>
      </c>
      <c r="I608" s="15" t="s">
        <v>133</v>
      </c>
      <c r="J608" s="39">
        <v>449.32</v>
      </c>
      <c r="K608" s="69">
        <f t="shared" si="51"/>
        <v>16455.746999999999</v>
      </c>
      <c r="L608" s="70">
        <f t="shared" si="47"/>
        <v>-10.9</v>
      </c>
      <c r="M608" s="62"/>
      <c r="N608" s="14" t="s">
        <v>63</v>
      </c>
      <c r="O608" s="15" t="s">
        <v>134</v>
      </c>
      <c r="P608" s="1">
        <v>643.4</v>
      </c>
    </row>
    <row r="609" spans="1:16" ht="15.75" hidden="1">
      <c r="A609" s="71">
        <f t="shared" si="48"/>
        <v>24</v>
      </c>
      <c r="B609" s="25" t="s">
        <v>59</v>
      </c>
      <c r="C609" s="15" t="s">
        <v>134</v>
      </c>
      <c r="D609" s="39">
        <v>655.61</v>
      </c>
      <c r="E609" s="73">
        <f t="shared" si="49"/>
        <v>14224.927</v>
      </c>
      <c r="F609" s="77"/>
      <c r="G609" s="75">
        <f t="shared" si="50"/>
        <v>24</v>
      </c>
      <c r="H609" s="25" t="s">
        <v>59</v>
      </c>
      <c r="I609" s="26" t="s">
        <v>134</v>
      </c>
      <c r="J609" s="39">
        <v>744.11</v>
      </c>
      <c r="K609" s="69">
        <f t="shared" si="51"/>
        <v>17199.857</v>
      </c>
      <c r="L609" s="70">
        <f t="shared" si="47"/>
        <v>88.5</v>
      </c>
      <c r="M609" s="62"/>
      <c r="N609" s="14" t="s">
        <v>64</v>
      </c>
      <c r="O609" s="15" t="s">
        <v>134</v>
      </c>
      <c r="P609" s="1">
        <v>737.15</v>
      </c>
    </row>
    <row r="610" spans="1:16" ht="15.75" hidden="1">
      <c r="A610" s="71">
        <f t="shared" si="48"/>
        <v>25</v>
      </c>
      <c r="B610" s="14" t="s">
        <v>61</v>
      </c>
      <c r="C610" s="15" t="s">
        <v>134</v>
      </c>
      <c r="D610" s="72"/>
      <c r="E610" s="73">
        <f t="shared" si="49"/>
        <v>14224.927</v>
      </c>
      <c r="F610" s="77"/>
      <c r="G610" s="75">
        <f t="shared" si="50"/>
        <v>25</v>
      </c>
      <c r="H610" s="14" t="s">
        <v>60</v>
      </c>
      <c r="I610" s="15" t="s">
        <v>134</v>
      </c>
      <c r="J610" s="72"/>
      <c r="K610" s="69">
        <f t="shared" si="51"/>
        <v>17199.857</v>
      </c>
      <c r="L610" s="70"/>
      <c r="M610" s="62"/>
      <c r="N610" s="14" t="s">
        <v>65</v>
      </c>
      <c r="O610" s="15" t="s">
        <v>134</v>
      </c>
      <c r="P610" s="1">
        <v>159.29</v>
      </c>
    </row>
    <row r="611" spans="1:16" ht="15.75" hidden="1">
      <c r="A611" s="71">
        <f t="shared" si="48"/>
        <v>26</v>
      </c>
      <c r="B611" s="14" t="s">
        <v>62</v>
      </c>
      <c r="C611" s="15" t="s">
        <v>134</v>
      </c>
      <c r="D611" s="39"/>
      <c r="E611" s="73">
        <f t="shared" si="49"/>
        <v>14224.927</v>
      </c>
      <c r="F611" s="77"/>
      <c r="G611" s="75">
        <f t="shared" si="50"/>
        <v>26</v>
      </c>
      <c r="H611" s="14" t="s">
        <v>61</v>
      </c>
      <c r="I611" s="15" t="s">
        <v>134</v>
      </c>
      <c r="J611" s="39">
        <v>119.21</v>
      </c>
      <c r="K611" s="69">
        <f t="shared" si="51"/>
        <v>17319.066999999999</v>
      </c>
      <c r="L611" s="70">
        <f t="shared" si="47"/>
        <v>119.21</v>
      </c>
      <c r="M611" s="62"/>
      <c r="N611" s="43" t="s">
        <v>66</v>
      </c>
      <c r="O611" s="23" t="s">
        <v>134</v>
      </c>
      <c r="P611" s="1">
        <v>2230.09</v>
      </c>
    </row>
    <row r="612" spans="1:16" ht="15.75" hidden="1">
      <c r="A612" s="71">
        <f t="shared" si="48"/>
        <v>27</v>
      </c>
      <c r="B612" s="14" t="s">
        <v>63</v>
      </c>
      <c r="C612" s="15" t="s">
        <v>134</v>
      </c>
      <c r="D612" s="39">
        <v>767.95</v>
      </c>
      <c r="E612" s="73">
        <f t="shared" si="49"/>
        <v>14992.877</v>
      </c>
      <c r="F612" s="77"/>
      <c r="G612" s="75">
        <f t="shared" si="50"/>
        <v>27</v>
      </c>
      <c r="H612" s="14" t="s">
        <v>62</v>
      </c>
      <c r="I612" s="15" t="s">
        <v>134</v>
      </c>
      <c r="J612" s="39">
        <v>857.85</v>
      </c>
      <c r="K612" s="69">
        <f t="shared" si="51"/>
        <v>18176.917000000001</v>
      </c>
      <c r="L612" s="70">
        <f t="shared" si="47"/>
        <v>89.9</v>
      </c>
      <c r="M612" s="62"/>
      <c r="N612" s="25" t="s">
        <v>67</v>
      </c>
      <c r="O612" s="26" t="s">
        <v>135</v>
      </c>
      <c r="P612" s="1">
        <v>-1569.81</v>
      </c>
    </row>
    <row r="613" spans="1:16" ht="15.75" hidden="1">
      <c r="A613" s="71">
        <f t="shared" si="48"/>
        <v>28</v>
      </c>
      <c r="B613" s="14" t="s">
        <v>63</v>
      </c>
      <c r="C613" s="15" t="s">
        <v>134</v>
      </c>
      <c r="D613" s="39">
        <v>584.29999999999995</v>
      </c>
      <c r="E613" s="73">
        <f t="shared" si="49"/>
        <v>15577.177</v>
      </c>
      <c r="F613" s="77"/>
      <c r="G613" s="75">
        <f t="shared" si="50"/>
        <v>28</v>
      </c>
      <c r="H613" s="14" t="s">
        <v>63</v>
      </c>
      <c r="I613" s="15" t="s">
        <v>134</v>
      </c>
      <c r="J613" s="39">
        <v>643.4</v>
      </c>
      <c r="K613" s="69">
        <f t="shared" si="51"/>
        <v>18820.316999999999</v>
      </c>
      <c r="L613" s="70">
        <f t="shared" si="47"/>
        <v>59.1</v>
      </c>
      <c r="M613" s="62"/>
      <c r="N613" s="14" t="s">
        <v>68</v>
      </c>
      <c r="O613" s="15" t="s">
        <v>135</v>
      </c>
      <c r="P613" s="1">
        <v>-2761.46</v>
      </c>
    </row>
    <row r="614" spans="1:16" ht="15.75" hidden="1">
      <c r="A614" s="71">
        <f t="shared" si="48"/>
        <v>29</v>
      </c>
      <c r="B614" s="14" t="s">
        <v>64</v>
      </c>
      <c r="C614" s="15" t="s">
        <v>134</v>
      </c>
      <c r="D614" s="39">
        <v>438.75</v>
      </c>
      <c r="E614" s="73">
        <f t="shared" si="49"/>
        <v>16015.927</v>
      </c>
      <c r="F614" s="77"/>
      <c r="G614" s="75">
        <f t="shared" si="50"/>
        <v>29</v>
      </c>
      <c r="H614" s="14" t="s">
        <v>64</v>
      </c>
      <c r="I614" s="15" t="s">
        <v>134</v>
      </c>
      <c r="J614" s="39">
        <v>737.15</v>
      </c>
      <c r="K614" s="69">
        <f t="shared" si="51"/>
        <v>19557.467000000001</v>
      </c>
      <c r="L614" s="70">
        <f t="shared" si="47"/>
        <v>298.39999999999998</v>
      </c>
      <c r="M614" s="62"/>
      <c r="N614" s="43" t="s">
        <v>69</v>
      </c>
      <c r="O614" s="23" t="s">
        <v>135</v>
      </c>
      <c r="P614" s="1">
        <v>-2285.2600000000002</v>
      </c>
    </row>
    <row r="615" spans="1:16" ht="15.75" hidden="1">
      <c r="A615" s="71">
        <f t="shared" si="48"/>
        <v>30</v>
      </c>
      <c r="B615" s="14" t="s">
        <v>65</v>
      </c>
      <c r="C615" s="15" t="s">
        <v>134</v>
      </c>
      <c r="D615" s="39">
        <v>334.19</v>
      </c>
      <c r="E615" s="73">
        <f t="shared" si="49"/>
        <v>16350.117</v>
      </c>
      <c r="F615" s="77"/>
      <c r="G615" s="75">
        <f t="shared" si="50"/>
        <v>30</v>
      </c>
      <c r="H615" s="14" t="s">
        <v>65</v>
      </c>
      <c r="I615" s="15" t="s">
        <v>134</v>
      </c>
      <c r="J615" s="39">
        <v>159.29</v>
      </c>
      <c r="K615" s="69">
        <f t="shared" si="51"/>
        <v>19716.757000000001</v>
      </c>
      <c r="L615" s="70">
        <f t="shared" si="47"/>
        <v>-174.9</v>
      </c>
      <c r="M615" s="62"/>
      <c r="N615" s="25" t="s">
        <v>136</v>
      </c>
      <c r="O615" s="26" t="s">
        <v>137</v>
      </c>
      <c r="P615" s="1">
        <v>-3018.88</v>
      </c>
    </row>
    <row r="616" spans="1:16" ht="15.75" hidden="1">
      <c r="A616" s="71">
        <f t="shared" si="48"/>
        <v>31</v>
      </c>
      <c r="B616" s="43" t="s">
        <v>66</v>
      </c>
      <c r="C616" s="23" t="s">
        <v>134</v>
      </c>
      <c r="D616" s="39">
        <v>2000.49</v>
      </c>
      <c r="E616" s="73">
        <f t="shared" si="49"/>
        <v>18350.607</v>
      </c>
      <c r="F616" s="77"/>
      <c r="G616" s="75">
        <f t="shared" si="50"/>
        <v>31</v>
      </c>
      <c r="H616" s="43" t="s">
        <v>66</v>
      </c>
      <c r="I616" s="23" t="s">
        <v>135</v>
      </c>
      <c r="J616" s="39">
        <v>2230.09</v>
      </c>
      <c r="K616" s="69">
        <f t="shared" si="51"/>
        <v>21946.847000000002</v>
      </c>
      <c r="L616" s="70">
        <f t="shared" si="47"/>
        <v>229.6</v>
      </c>
      <c r="M616" s="62"/>
      <c r="N616" s="14" t="s">
        <v>71</v>
      </c>
      <c r="O616" s="15" t="s">
        <v>137</v>
      </c>
      <c r="P616" s="1">
        <v>1392.85</v>
      </c>
    </row>
    <row r="617" spans="1:16" ht="15.75" hidden="1">
      <c r="A617" s="71">
        <f t="shared" si="48"/>
        <v>32</v>
      </c>
      <c r="B617" s="14" t="s">
        <v>71</v>
      </c>
      <c r="C617" s="26" t="s">
        <v>137</v>
      </c>
      <c r="D617" s="39">
        <v>1113.55</v>
      </c>
      <c r="E617" s="73">
        <f t="shared" si="49"/>
        <v>19464.156999999999</v>
      </c>
      <c r="F617" s="77"/>
      <c r="G617" s="75">
        <f t="shared" si="50"/>
        <v>32</v>
      </c>
      <c r="H617" s="14" t="s">
        <v>71</v>
      </c>
      <c r="I617" s="26" t="s">
        <v>137</v>
      </c>
      <c r="J617" s="39">
        <v>1392.85</v>
      </c>
      <c r="K617" s="69">
        <f t="shared" si="51"/>
        <v>23339.697</v>
      </c>
      <c r="L617" s="70">
        <f t="shared" si="47"/>
        <v>279.3</v>
      </c>
      <c r="M617" s="62"/>
      <c r="N617" s="14" t="s">
        <v>72</v>
      </c>
      <c r="O617" s="15" t="s">
        <v>137</v>
      </c>
      <c r="P617" s="1">
        <v>1028.3</v>
      </c>
    </row>
    <row r="618" spans="1:16" ht="15.75" hidden="1">
      <c r="A618" s="71">
        <f t="shared" si="48"/>
        <v>33</v>
      </c>
      <c r="B618" s="14" t="s">
        <v>72</v>
      </c>
      <c r="C618" s="82" t="s">
        <v>137</v>
      </c>
      <c r="D618" s="39">
        <v>1303.7</v>
      </c>
      <c r="E618" s="73">
        <f t="shared" si="49"/>
        <v>20767.857</v>
      </c>
      <c r="F618" s="77"/>
      <c r="G618" s="75">
        <f t="shared" si="50"/>
        <v>33</v>
      </c>
      <c r="H618" s="14" t="s">
        <v>72</v>
      </c>
      <c r="I618" s="82" t="s">
        <v>137</v>
      </c>
      <c r="J618" s="39">
        <v>1028.3</v>
      </c>
      <c r="K618" s="69">
        <f t="shared" si="51"/>
        <v>24367.996999999999</v>
      </c>
      <c r="L618" s="70">
        <f t="shared" si="47"/>
        <v>-275.39999999999998</v>
      </c>
      <c r="M618" s="62"/>
      <c r="N618" s="14" t="s">
        <v>138</v>
      </c>
      <c r="O618" s="15" t="s">
        <v>137</v>
      </c>
      <c r="P618" s="1"/>
    </row>
    <row r="619" spans="1:16" ht="15.75" hidden="1">
      <c r="A619" s="71">
        <f t="shared" si="48"/>
        <v>34</v>
      </c>
      <c r="B619" s="25" t="s">
        <v>77</v>
      </c>
      <c r="C619" s="26" t="s">
        <v>139</v>
      </c>
      <c r="D619" s="39">
        <v>1992.78</v>
      </c>
      <c r="E619" s="73">
        <f t="shared" si="49"/>
        <v>22760.636999999999</v>
      </c>
      <c r="F619" s="77"/>
      <c r="G619" s="75">
        <f t="shared" si="50"/>
        <v>34</v>
      </c>
      <c r="H619" s="25" t="s">
        <v>77</v>
      </c>
      <c r="I619" s="26" t="s">
        <v>139</v>
      </c>
      <c r="J619" s="39">
        <v>1677.78</v>
      </c>
      <c r="K619" s="69">
        <f t="shared" si="51"/>
        <v>26045.776999999998</v>
      </c>
      <c r="L619" s="70">
        <f t="shared" si="47"/>
        <v>-315</v>
      </c>
      <c r="M619" s="62"/>
      <c r="N619" s="14" t="s">
        <v>74</v>
      </c>
      <c r="O619" s="15" t="s">
        <v>137</v>
      </c>
      <c r="P619" s="1">
        <v>-3095.6</v>
      </c>
    </row>
    <row r="620" spans="1:16" ht="15.75" hidden="1">
      <c r="A620" s="71">
        <f t="shared" si="48"/>
        <v>35</v>
      </c>
      <c r="B620" s="14" t="s">
        <v>78</v>
      </c>
      <c r="C620" s="15" t="s">
        <v>139</v>
      </c>
      <c r="D620" s="39">
        <v>449.8</v>
      </c>
      <c r="E620" s="73">
        <f t="shared" si="49"/>
        <v>23210.437000000002</v>
      </c>
      <c r="F620" s="77"/>
      <c r="G620" s="75">
        <f t="shared" si="50"/>
        <v>35</v>
      </c>
      <c r="H620" s="14" t="s">
        <v>78</v>
      </c>
      <c r="I620" s="15" t="s">
        <v>139</v>
      </c>
      <c r="J620" s="39">
        <v>575.1</v>
      </c>
      <c r="K620" s="69">
        <f t="shared" si="51"/>
        <v>26620.877</v>
      </c>
      <c r="L620" s="70">
        <f t="shared" si="47"/>
        <v>125.3</v>
      </c>
      <c r="M620" s="62"/>
      <c r="N620" s="14" t="s">
        <v>75</v>
      </c>
      <c r="O620" s="15" t="s">
        <v>137</v>
      </c>
      <c r="P620" s="1">
        <v>-15624.89</v>
      </c>
    </row>
    <row r="621" spans="1:16" ht="15.75" hidden="1">
      <c r="A621" s="71">
        <f t="shared" si="48"/>
        <v>36</v>
      </c>
      <c r="B621" s="14" t="s">
        <v>79</v>
      </c>
      <c r="C621" s="15" t="s">
        <v>139</v>
      </c>
      <c r="D621" s="76"/>
      <c r="E621" s="73">
        <f t="shared" si="49"/>
        <v>23210.437000000002</v>
      </c>
      <c r="F621" s="77"/>
      <c r="G621" s="75">
        <f t="shared" si="50"/>
        <v>36</v>
      </c>
      <c r="H621" s="14" t="s">
        <v>79</v>
      </c>
      <c r="I621" s="15" t="s">
        <v>139</v>
      </c>
      <c r="J621" s="76"/>
      <c r="K621" s="69">
        <f t="shared" si="51"/>
        <v>26620.877</v>
      </c>
      <c r="L621" s="70"/>
      <c r="M621" s="62"/>
      <c r="N621" s="43" t="s">
        <v>76</v>
      </c>
      <c r="O621" s="23" t="s">
        <v>137</v>
      </c>
      <c r="P621" s="1">
        <v>-49070.14</v>
      </c>
    </row>
    <row r="622" spans="1:16" ht="15.75" hidden="1">
      <c r="A622" s="71">
        <f t="shared" si="48"/>
        <v>37</v>
      </c>
      <c r="B622" s="25" t="s">
        <v>80</v>
      </c>
      <c r="C622" s="15" t="s">
        <v>139</v>
      </c>
      <c r="D622" s="39">
        <v>241.71</v>
      </c>
      <c r="E622" s="73">
        <f t="shared" si="49"/>
        <v>23452.147000000001</v>
      </c>
      <c r="F622" s="77"/>
      <c r="G622" s="75">
        <f t="shared" si="50"/>
        <v>37</v>
      </c>
      <c r="H622" s="14" t="s">
        <v>80</v>
      </c>
      <c r="I622" s="15" t="s">
        <v>139</v>
      </c>
      <c r="J622" s="39">
        <v>303.51</v>
      </c>
      <c r="K622" s="69">
        <f t="shared" si="51"/>
        <v>26924.386999999999</v>
      </c>
      <c r="L622" s="70">
        <f t="shared" si="47"/>
        <v>61.8</v>
      </c>
      <c r="M622" s="62"/>
      <c r="N622" s="25" t="s">
        <v>77</v>
      </c>
      <c r="O622" s="26" t="s">
        <v>139</v>
      </c>
      <c r="P622" s="1">
        <v>1677.78</v>
      </c>
    </row>
    <row r="623" spans="1:16" ht="15.75" hidden="1">
      <c r="A623" s="71">
        <f t="shared" si="48"/>
        <v>38</v>
      </c>
      <c r="B623" s="14" t="s">
        <v>81</v>
      </c>
      <c r="C623" s="15" t="s">
        <v>139</v>
      </c>
      <c r="D623" s="76"/>
      <c r="E623" s="73">
        <f t="shared" si="49"/>
        <v>23452.147000000001</v>
      </c>
      <c r="F623" s="77"/>
      <c r="G623" s="75">
        <f t="shared" si="50"/>
        <v>38</v>
      </c>
      <c r="H623" s="14" t="s">
        <v>81</v>
      </c>
      <c r="I623" s="15" t="s">
        <v>139</v>
      </c>
      <c r="J623" s="76"/>
      <c r="K623" s="69">
        <f t="shared" si="51"/>
        <v>26924.386999999999</v>
      </c>
      <c r="L623" s="70"/>
      <c r="M623" s="62"/>
      <c r="N623" s="14" t="s">
        <v>78</v>
      </c>
      <c r="O623" s="15" t="s">
        <v>139</v>
      </c>
      <c r="P623" s="1">
        <v>575.1</v>
      </c>
    </row>
    <row r="624" spans="1:16" ht="15.75" hidden="1">
      <c r="A624" s="71">
        <f t="shared" si="48"/>
        <v>39</v>
      </c>
      <c r="B624" s="14" t="s">
        <v>82</v>
      </c>
      <c r="C624" s="15" t="s">
        <v>139</v>
      </c>
      <c r="D624" s="39">
        <v>78.3</v>
      </c>
      <c r="E624" s="73">
        <f t="shared" si="49"/>
        <v>23530.447</v>
      </c>
      <c r="F624" s="77"/>
      <c r="G624" s="75">
        <f t="shared" si="50"/>
        <v>39</v>
      </c>
      <c r="H624" s="14" t="s">
        <v>82</v>
      </c>
      <c r="I624" s="15" t="s">
        <v>139</v>
      </c>
      <c r="J624" s="39">
        <v>182.7</v>
      </c>
      <c r="K624" s="69">
        <f t="shared" si="51"/>
        <v>27107.087</v>
      </c>
      <c r="L624" s="70">
        <f t="shared" si="47"/>
        <v>104.4</v>
      </c>
      <c r="M624" s="62"/>
      <c r="N624" s="14" t="s">
        <v>79</v>
      </c>
      <c r="O624" s="15" t="s">
        <v>139</v>
      </c>
      <c r="P624" s="1">
        <v>-1844.46</v>
      </c>
    </row>
    <row r="625" spans="1:16" ht="15.75" hidden="1">
      <c r="A625" s="71">
        <f t="shared" si="48"/>
        <v>40</v>
      </c>
      <c r="B625" s="14" t="s">
        <v>83</v>
      </c>
      <c r="C625" s="15" t="s">
        <v>139</v>
      </c>
      <c r="D625" s="76"/>
      <c r="E625" s="73">
        <f t="shared" si="49"/>
        <v>23530.447</v>
      </c>
      <c r="F625" s="77"/>
      <c r="G625" s="75">
        <f t="shared" si="50"/>
        <v>40</v>
      </c>
      <c r="H625" s="14" t="s">
        <v>83</v>
      </c>
      <c r="I625" s="15" t="s">
        <v>139</v>
      </c>
      <c r="J625" s="76"/>
      <c r="K625" s="69">
        <f t="shared" si="51"/>
        <v>27107.087</v>
      </c>
      <c r="L625" s="70"/>
      <c r="M625" s="62"/>
      <c r="N625" s="14" t="s">
        <v>80</v>
      </c>
      <c r="O625" s="15" t="s">
        <v>139</v>
      </c>
      <c r="P625" s="1">
        <v>303.51</v>
      </c>
    </row>
    <row r="626" spans="1:16" ht="15.75" hidden="1">
      <c r="A626" s="71">
        <f t="shared" si="48"/>
        <v>41</v>
      </c>
      <c r="B626" s="14" t="s">
        <v>84</v>
      </c>
      <c r="C626" s="15" t="s">
        <v>139</v>
      </c>
      <c r="D626" s="39"/>
      <c r="E626" s="73">
        <f t="shared" si="49"/>
        <v>23530.447</v>
      </c>
      <c r="F626" s="77"/>
      <c r="G626" s="75">
        <f t="shared" si="50"/>
        <v>41</v>
      </c>
      <c r="H626" s="14" t="s">
        <v>84</v>
      </c>
      <c r="I626" s="15" t="s">
        <v>139</v>
      </c>
      <c r="J626" s="39">
        <v>1635.6</v>
      </c>
      <c r="K626" s="69">
        <f t="shared" si="51"/>
        <v>28742.687000000002</v>
      </c>
      <c r="L626" s="70">
        <f t="shared" si="47"/>
        <v>1635.6</v>
      </c>
      <c r="M626" s="62"/>
      <c r="N626" s="14" t="s">
        <v>81</v>
      </c>
      <c r="O626" s="15" t="s">
        <v>139</v>
      </c>
      <c r="P626" s="1">
        <v>-596.5</v>
      </c>
    </row>
    <row r="627" spans="1:16" ht="15.75" hidden="1">
      <c r="A627" s="71">
        <f t="shared" si="48"/>
        <v>42</v>
      </c>
      <c r="B627" s="14" t="s">
        <v>86</v>
      </c>
      <c r="C627" s="15" t="s">
        <v>139</v>
      </c>
      <c r="D627" s="39">
        <v>379.9</v>
      </c>
      <c r="E627" s="73">
        <f t="shared" si="49"/>
        <v>23910.347000000002</v>
      </c>
      <c r="F627" s="77"/>
      <c r="G627" s="75">
        <f t="shared" si="50"/>
        <v>42</v>
      </c>
      <c r="H627" s="14" t="s">
        <v>86</v>
      </c>
      <c r="I627" s="23" t="s">
        <v>139</v>
      </c>
      <c r="J627" s="39"/>
      <c r="K627" s="69">
        <f t="shared" si="51"/>
        <v>28742.687000000002</v>
      </c>
      <c r="L627" s="70">
        <f t="shared" si="47"/>
        <v>-379.9</v>
      </c>
      <c r="M627" s="62"/>
      <c r="N627" s="14" t="s">
        <v>82</v>
      </c>
      <c r="O627" s="15" t="s">
        <v>139</v>
      </c>
      <c r="P627" s="1">
        <v>182.7</v>
      </c>
    </row>
    <row r="628" spans="1:16" ht="15.75" hidden="1">
      <c r="A628" s="71">
        <f t="shared" si="48"/>
        <v>43</v>
      </c>
      <c r="B628" s="43" t="s">
        <v>87</v>
      </c>
      <c r="C628" s="23" t="s">
        <v>139</v>
      </c>
      <c r="D628" s="76"/>
      <c r="E628" s="73">
        <f t="shared" si="49"/>
        <v>23910.347000000002</v>
      </c>
      <c r="F628" s="77"/>
      <c r="G628" s="75">
        <f t="shared" si="50"/>
        <v>43</v>
      </c>
      <c r="H628" s="43" t="s">
        <v>87</v>
      </c>
      <c r="I628" s="23" t="s">
        <v>139</v>
      </c>
      <c r="J628" s="76"/>
      <c r="K628" s="69">
        <f t="shared" si="51"/>
        <v>28742.687000000002</v>
      </c>
      <c r="L628" s="70"/>
      <c r="M628" s="62"/>
      <c r="N628" s="14" t="s">
        <v>83</v>
      </c>
      <c r="O628" s="15" t="s">
        <v>139</v>
      </c>
      <c r="P628" s="1">
        <v>-2360.33</v>
      </c>
    </row>
    <row r="629" spans="1:16" ht="15.75" hidden="1">
      <c r="A629" s="71">
        <f t="shared" si="48"/>
        <v>44</v>
      </c>
      <c r="B629" s="14" t="s">
        <v>89</v>
      </c>
      <c r="C629" s="15" t="s">
        <v>141</v>
      </c>
      <c r="D629" s="39"/>
      <c r="E629" s="73">
        <f t="shared" si="49"/>
        <v>23910.347000000002</v>
      </c>
      <c r="F629" s="77"/>
      <c r="G629" s="75">
        <f t="shared" si="50"/>
        <v>44</v>
      </c>
      <c r="H629" s="14" t="s">
        <v>89</v>
      </c>
      <c r="I629" s="15" t="s">
        <v>141</v>
      </c>
      <c r="J629" s="39"/>
      <c r="K629" s="69">
        <f t="shared" si="51"/>
        <v>28742.687000000002</v>
      </c>
      <c r="L629" s="70"/>
      <c r="M629" s="62"/>
      <c r="N629" s="14" t="s">
        <v>84</v>
      </c>
      <c r="O629" s="15" t="s">
        <v>139</v>
      </c>
      <c r="P629" s="1">
        <v>1635.6</v>
      </c>
    </row>
    <row r="630" spans="1:16" ht="15.75" hidden="1">
      <c r="A630" s="71">
        <f t="shared" si="48"/>
        <v>45</v>
      </c>
      <c r="B630" s="14" t="s">
        <v>90</v>
      </c>
      <c r="C630" s="15" t="s">
        <v>141</v>
      </c>
      <c r="D630" s="39">
        <v>826.1</v>
      </c>
      <c r="E630" s="73">
        <f t="shared" si="49"/>
        <v>24736.447</v>
      </c>
      <c r="F630" s="77"/>
      <c r="G630" s="75">
        <f t="shared" si="50"/>
        <v>45</v>
      </c>
      <c r="H630" s="14" t="s">
        <v>90</v>
      </c>
      <c r="I630" s="15" t="s">
        <v>141</v>
      </c>
      <c r="J630" s="39">
        <v>756.7</v>
      </c>
      <c r="K630" s="69">
        <f t="shared" si="51"/>
        <v>29499.386999999999</v>
      </c>
      <c r="L630" s="70">
        <f t="shared" si="47"/>
        <v>-69.400000000000006</v>
      </c>
      <c r="M630" s="62"/>
      <c r="N630" s="14" t="s">
        <v>85</v>
      </c>
      <c r="O630" s="15" t="s">
        <v>139</v>
      </c>
      <c r="P630" s="1">
        <v>-3458.4</v>
      </c>
    </row>
    <row r="631" spans="1:16" ht="15.75" hidden="1">
      <c r="A631" s="71">
        <f t="shared" si="48"/>
        <v>46</v>
      </c>
      <c r="B631" s="14" t="s">
        <v>91</v>
      </c>
      <c r="C631" s="15" t="s">
        <v>141</v>
      </c>
      <c r="D631" s="39">
        <v>20077.599999999999</v>
      </c>
      <c r="E631" s="73">
        <f t="shared" si="49"/>
        <v>44814.046999999999</v>
      </c>
      <c r="F631" s="77"/>
      <c r="G631" s="75">
        <f t="shared" si="50"/>
        <v>46</v>
      </c>
      <c r="H631" s="14" t="s">
        <v>91</v>
      </c>
      <c r="I631" s="15" t="s">
        <v>141</v>
      </c>
      <c r="J631" s="39">
        <v>19643.099999999999</v>
      </c>
      <c r="K631" s="69">
        <f t="shared" si="51"/>
        <v>49142.487000000001</v>
      </c>
      <c r="L631" s="70">
        <f t="shared" si="47"/>
        <v>-434.5</v>
      </c>
      <c r="M631" s="62"/>
      <c r="N631" s="14" t="s">
        <v>86</v>
      </c>
      <c r="O631" s="15" t="s">
        <v>139</v>
      </c>
      <c r="P631" s="1">
        <v>-287</v>
      </c>
    </row>
    <row r="632" spans="1:16" ht="15.75" hidden="1">
      <c r="A632" s="71">
        <f t="shared" si="48"/>
        <v>47</v>
      </c>
      <c r="B632" s="14" t="s">
        <v>92</v>
      </c>
      <c r="C632" s="15" t="s">
        <v>141</v>
      </c>
      <c r="D632" s="76"/>
      <c r="E632" s="73">
        <f t="shared" si="49"/>
        <v>44814.046999999999</v>
      </c>
      <c r="F632" s="77"/>
      <c r="G632" s="75">
        <f t="shared" si="50"/>
        <v>47</v>
      </c>
      <c r="H632" s="14" t="s">
        <v>92</v>
      </c>
      <c r="I632" s="15" t="s">
        <v>141</v>
      </c>
      <c r="J632" s="76"/>
      <c r="K632" s="69">
        <f t="shared" si="51"/>
        <v>49142.487000000001</v>
      </c>
      <c r="L632" s="70"/>
      <c r="M632" s="62"/>
      <c r="N632" s="43" t="s">
        <v>87</v>
      </c>
      <c r="O632" s="23" t="s">
        <v>139</v>
      </c>
      <c r="P632" s="1">
        <v>-2511.84</v>
      </c>
    </row>
    <row r="633" spans="1:16" ht="15.75" hidden="1">
      <c r="A633" s="71">
        <f t="shared" si="48"/>
        <v>48</v>
      </c>
      <c r="B633" s="51" t="s">
        <v>94</v>
      </c>
      <c r="C633" s="52" t="s">
        <v>141</v>
      </c>
      <c r="D633" s="76"/>
      <c r="E633" s="73">
        <f t="shared" si="49"/>
        <v>44814.046999999999</v>
      </c>
      <c r="F633" s="77"/>
      <c r="G633" s="75">
        <f t="shared" si="50"/>
        <v>48</v>
      </c>
      <c r="H633" s="51" t="s">
        <v>94</v>
      </c>
      <c r="I633" s="52" t="s">
        <v>141</v>
      </c>
      <c r="J633" s="76"/>
      <c r="K633" s="69">
        <f t="shared" si="51"/>
        <v>49142.487000000001</v>
      </c>
      <c r="L633" s="70"/>
      <c r="M633" s="62"/>
      <c r="N633" s="25" t="s">
        <v>88</v>
      </c>
      <c r="O633" s="26" t="s">
        <v>141</v>
      </c>
      <c r="P633" s="1">
        <v>-9186.2000000000007</v>
      </c>
    </row>
    <row r="634" spans="1:16" ht="15.75" hidden="1">
      <c r="A634" s="71">
        <f t="shared" si="48"/>
        <v>49</v>
      </c>
      <c r="B634" s="83" t="s">
        <v>95</v>
      </c>
      <c r="C634" s="49" t="s">
        <v>106</v>
      </c>
      <c r="D634" s="39">
        <v>605.16</v>
      </c>
      <c r="E634" s="73">
        <f t="shared" si="49"/>
        <v>45419.207000000002</v>
      </c>
      <c r="F634" s="77"/>
      <c r="G634" s="75">
        <f t="shared" si="50"/>
        <v>49</v>
      </c>
      <c r="H634" s="50" t="s">
        <v>95</v>
      </c>
      <c r="I634" s="49" t="s">
        <v>106</v>
      </c>
      <c r="J634" s="39">
        <v>1396.06</v>
      </c>
      <c r="K634" s="69">
        <f t="shared" si="51"/>
        <v>50538.546999999999</v>
      </c>
      <c r="L634" s="70">
        <f t="shared" si="47"/>
        <v>790.9</v>
      </c>
      <c r="M634" s="62"/>
      <c r="N634" s="14" t="s">
        <v>89</v>
      </c>
      <c r="O634" s="15" t="s">
        <v>141</v>
      </c>
      <c r="P634" s="1">
        <v>-665</v>
      </c>
    </row>
    <row r="635" spans="1:16" ht="15.75" hidden="1">
      <c r="A635" s="71">
        <f t="shared" si="48"/>
        <v>50</v>
      </c>
      <c r="B635" s="84" t="s">
        <v>96</v>
      </c>
      <c r="C635" s="15" t="s">
        <v>106</v>
      </c>
      <c r="D635" s="39">
        <v>6695.88</v>
      </c>
      <c r="E635" s="73">
        <f t="shared" si="49"/>
        <v>52115.087</v>
      </c>
      <c r="F635" s="77"/>
      <c r="G635" s="75">
        <f t="shared" si="50"/>
        <v>50</v>
      </c>
      <c r="H635" s="14" t="s">
        <v>96</v>
      </c>
      <c r="I635" s="15" t="s">
        <v>106</v>
      </c>
      <c r="J635" s="39">
        <v>7706.28</v>
      </c>
      <c r="K635" s="69">
        <f t="shared" si="51"/>
        <v>58244.826999999997</v>
      </c>
      <c r="L635" s="70">
        <f t="shared" si="47"/>
        <v>1010.4</v>
      </c>
      <c r="M635" s="62">
        <f>J638-D638</f>
        <v>6288.53999999999</v>
      </c>
      <c r="N635" s="14" t="s">
        <v>90</v>
      </c>
      <c r="O635" s="15" t="s">
        <v>141</v>
      </c>
      <c r="P635" s="1">
        <v>756.7</v>
      </c>
    </row>
    <row r="636" spans="1:16" ht="15.75" hidden="1">
      <c r="A636" s="71">
        <f t="shared" si="48"/>
        <v>51</v>
      </c>
      <c r="B636" s="85" t="s">
        <v>116</v>
      </c>
      <c r="C636" s="23" t="s">
        <v>106</v>
      </c>
      <c r="D636" s="39">
        <v>505.9</v>
      </c>
      <c r="E636" s="73">
        <f t="shared" si="49"/>
        <v>52620.987000000001</v>
      </c>
      <c r="F636" s="77"/>
      <c r="G636" s="75">
        <f t="shared" si="50"/>
        <v>51</v>
      </c>
      <c r="H636" s="22" t="s">
        <v>116</v>
      </c>
      <c r="I636" s="23" t="s">
        <v>106</v>
      </c>
      <c r="J636" s="39">
        <v>664.7</v>
      </c>
      <c r="K636" s="69">
        <f t="shared" si="51"/>
        <v>58909.527000000002</v>
      </c>
      <c r="L636" s="70">
        <f t="shared" si="47"/>
        <v>158.80000000000001</v>
      </c>
      <c r="M636" s="86"/>
      <c r="N636" s="14" t="s">
        <v>91</v>
      </c>
      <c r="O636" s="15" t="s">
        <v>141</v>
      </c>
      <c r="P636" s="1">
        <v>19643.099999999999</v>
      </c>
    </row>
    <row r="637" spans="1:16" ht="15.75" hidden="1">
      <c r="A637" s="71">
        <f t="shared" si="48"/>
        <v>52</v>
      </c>
      <c r="B637" s="87" t="s">
        <v>120</v>
      </c>
      <c r="C637" s="23" t="s">
        <v>106</v>
      </c>
      <c r="D637" s="88"/>
      <c r="E637" s="73">
        <f t="shared" si="49"/>
        <v>52620.987000000001</v>
      </c>
      <c r="F637" s="89"/>
      <c r="G637" s="75">
        <f t="shared" si="50"/>
        <v>52</v>
      </c>
      <c r="H637" s="90" t="s">
        <v>120</v>
      </c>
      <c r="I637" s="23" t="s">
        <v>106</v>
      </c>
      <c r="J637" s="88"/>
      <c r="K637" s="69">
        <f t="shared" si="51"/>
        <v>58909.527000000002</v>
      </c>
      <c r="L637" s="70"/>
      <c r="M637" s="86"/>
      <c r="N637" s="14" t="s">
        <v>92</v>
      </c>
      <c r="O637" s="15" t="s">
        <v>141</v>
      </c>
      <c r="P637" s="1">
        <v>-1962.55</v>
      </c>
    </row>
    <row r="638" spans="1:16" ht="15.75" hidden="1">
      <c r="A638" s="8"/>
      <c r="B638" s="91" t="s">
        <v>102</v>
      </c>
      <c r="C638" s="92"/>
      <c r="D638" s="93">
        <f>SUM(D586:D637)</f>
        <v>52620.987000000001</v>
      </c>
      <c r="E638" s="59">
        <f>E637</f>
        <v>52620.987000000001</v>
      </c>
      <c r="F638" s="94"/>
      <c r="G638" s="95"/>
      <c r="H638" s="91" t="s">
        <v>102</v>
      </c>
      <c r="I638" s="60"/>
      <c r="J638" s="93">
        <f>SUM(J586:J637)</f>
        <v>58909.527000000002</v>
      </c>
      <c r="K638" s="59">
        <f>K637</f>
        <v>58909.527000000002</v>
      </c>
      <c r="L638" s="59">
        <f>K638-E638</f>
        <v>6288.53999999999</v>
      </c>
      <c r="M638" s="62">
        <f>SUM(J586:J637)</f>
        <v>58909.527000000002</v>
      </c>
      <c r="N638" s="14" t="s">
        <v>93</v>
      </c>
      <c r="O638" s="15" t="s">
        <v>141</v>
      </c>
      <c r="P638" s="1">
        <v>-5986.1</v>
      </c>
    </row>
    <row r="639" spans="1:16" ht="15.75" hidden="1">
      <c r="M639" s="62">
        <f>SUM(D586:D637)</f>
        <v>52620.987000000001</v>
      </c>
      <c r="N639" s="51" t="s">
        <v>94</v>
      </c>
      <c r="O639" s="52" t="s">
        <v>141</v>
      </c>
      <c r="P639" s="1">
        <v>-8161.93</v>
      </c>
    </row>
    <row r="640" spans="1:16" ht="15.75" hidden="1">
      <c r="M640" s="62">
        <f>M638-M639</f>
        <v>6288.53999999999</v>
      </c>
      <c r="N640" s="50" t="s">
        <v>95</v>
      </c>
      <c r="O640" s="49" t="s">
        <v>106</v>
      </c>
      <c r="P640" s="1">
        <v>1396.06</v>
      </c>
    </row>
    <row r="641" spans="1:16" ht="15.75" hidden="1">
      <c r="A641" s="127" t="s">
        <v>152</v>
      </c>
      <c r="B641" s="128"/>
      <c r="C641" s="128"/>
      <c r="D641" s="128"/>
      <c r="E641" s="129"/>
      <c r="F641" s="12"/>
      <c r="G641" s="127" t="s">
        <v>155</v>
      </c>
      <c r="H641" s="128"/>
      <c r="I641" s="128"/>
      <c r="J641" s="128"/>
      <c r="K641" s="129"/>
      <c r="L641" s="130" t="s">
        <v>156</v>
      </c>
      <c r="M641" s="8"/>
      <c r="N641" s="14" t="s">
        <v>96</v>
      </c>
      <c r="O641" s="15" t="s">
        <v>106</v>
      </c>
      <c r="P641" s="1">
        <v>7706.28</v>
      </c>
    </row>
    <row r="642" spans="1:16" ht="31.5" hidden="1">
      <c r="A642" s="18" t="s">
        <v>112</v>
      </c>
      <c r="B642" s="19" t="s">
        <v>0</v>
      </c>
      <c r="C642" s="20" t="s">
        <v>113</v>
      </c>
      <c r="D642" s="20" t="s">
        <v>114</v>
      </c>
      <c r="E642" s="20" t="s">
        <v>115</v>
      </c>
      <c r="F642" s="21"/>
      <c r="G642" s="12" t="s">
        <v>112</v>
      </c>
      <c r="H642" s="12" t="s">
        <v>0</v>
      </c>
      <c r="I642" s="12" t="s">
        <v>113</v>
      </c>
      <c r="J642" s="12" t="s">
        <v>114</v>
      </c>
      <c r="K642" s="12" t="s">
        <v>115</v>
      </c>
      <c r="L642" s="131"/>
      <c r="M642" s="8"/>
      <c r="N642" s="22" t="s">
        <v>116</v>
      </c>
      <c r="O642" s="23" t="s">
        <v>106</v>
      </c>
      <c r="P642" s="1">
        <v>664.7</v>
      </c>
    </row>
    <row r="643" spans="1:16" ht="15.75" hidden="1">
      <c r="A643" s="28">
        <v>1</v>
      </c>
      <c r="B643" s="25" t="s">
        <v>1</v>
      </c>
      <c r="C643" s="26" t="s">
        <v>119</v>
      </c>
      <c r="D643" s="32">
        <v>-3579.87</v>
      </c>
      <c r="E643" s="30">
        <f>D643</f>
        <v>-3579.87</v>
      </c>
      <c r="F643" s="8"/>
      <c r="G643" s="31">
        <v>1</v>
      </c>
      <c r="H643" s="25" t="s">
        <v>1</v>
      </c>
      <c r="I643" s="26" t="s">
        <v>119</v>
      </c>
      <c r="J643" s="32">
        <v>-3225.37</v>
      </c>
      <c r="K643" s="30">
        <f>J643</f>
        <v>-3225.37</v>
      </c>
      <c r="L643" s="33">
        <f t="shared" ref="L643:L702" si="52">J643-D643</f>
        <v>354.5</v>
      </c>
      <c r="M643" s="8"/>
      <c r="N643" s="8" t="s">
        <v>120</v>
      </c>
      <c r="O643" s="23" t="s">
        <v>106</v>
      </c>
      <c r="P643" s="1">
        <v>-3281.9</v>
      </c>
    </row>
    <row r="644" spans="1:16" ht="15.75" hidden="1">
      <c r="A644" s="28">
        <v>2</v>
      </c>
      <c r="B644" s="14" t="s">
        <v>2</v>
      </c>
      <c r="C644" s="15" t="s">
        <v>119</v>
      </c>
      <c r="D644" s="39">
        <v>-1847.7</v>
      </c>
      <c r="E644" s="33">
        <f>E643+D644</f>
        <v>-5427.57</v>
      </c>
      <c r="F644" s="8"/>
      <c r="G644" s="38">
        <v>2</v>
      </c>
      <c r="H644" s="14" t="s">
        <v>2</v>
      </c>
      <c r="I644" s="15" t="s">
        <v>119</v>
      </c>
      <c r="J644" s="39">
        <v>-1911.6</v>
      </c>
      <c r="K644" s="33">
        <f>K643+J644</f>
        <v>-5136.97</v>
      </c>
      <c r="L644" s="33">
        <f t="shared" si="52"/>
        <v>-63.899999999999899</v>
      </c>
    </row>
    <row r="645" spans="1:16" ht="15.75" hidden="1">
      <c r="A645" s="28">
        <v>3</v>
      </c>
      <c r="B645" s="14" t="s">
        <v>3</v>
      </c>
      <c r="C645" s="15" t="s">
        <v>119</v>
      </c>
      <c r="D645" s="39">
        <v>-583.35</v>
      </c>
      <c r="E645" s="33">
        <f t="shared" ref="E645:E708" si="53">E644+D645</f>
        <v>-6010.92</v>
      </c>
      <c r="F645" s="8"/>
      <c r="G645" s="38">
        <v>3</v>
      </c>
      <c r="H645" s="14" t="s">
        <v>3</v>
      </c>
      <c r="I645" s="15" t="s">
        <v>119</v>
      </c>
      <c r="J645" s="39">
        <v>-515.54999999999995</v>
      </c>
      <c r="K645" s="33">
        <f t="shared" ref="K645:K708" si="54">K644+J645</f>
        <v>-5652.52</v>
      </c>
      <c r="L645" s="33">
        <f t="shared" si="52"/>
        <v>67.800000000000097</v>
      </c>
    </row>
    <row r="646" spans="1:16" ht="15.75" hidden="1">
      <c r="A646" s="28">
        <v>4</v>
      </c>
      <c r="B646" s="14" t="s">
        <v>4</v>
      </c>
      <c r="C646" s="15" t="s">
        <v>119</v>
      </c>
      <c r="D646" s="39">
        <v>-11340.16</v>
      </c>
      <c r="E646" s="33">
        <f t="shared" si="53"/>
        <v>-17351.080000000002</v>
      </c>
      <c r="F646" s="8"/>
      <c r="G646" s="38">
        <v>4</v>
      </c>
      <c r="H646" s="14" t="s">
        <v>4</v>
      </c>
      <c r="I646" s="15" t="s">
        <v>119</v>
      </c>
      <c r="J646" s="39">
        <v>-11255.06</v>
      </c>
      <c r="K646" s="33">
        <f t="shared" si="54"/>
        <v>-16907.580000000002</v>
      </c>
      <c r="L646" s="33">
        <f t="shared" si="52"/>
        <v>85.100000000000406</v>
      </c>
    </row>
    <row r="647" spans="1:16" ht="15.75" hidden="1">
      <c r="A647" s="28">
        <v>5</v>
      </c>
      <c r="B647" s="14" t="s">
        <v>5</v>
      </c>
      <c r="C647" s="15" t="s">
        <v>119</v>
      </c>
      <c r="D647" s="39"/>
      <c r="E647" s="33">
        <f t="shared" si="53"/>
        <v>-17351.080000000002</v>
      </c>
      <c r="F647" s="8"/>
      <c r="G647" s="38">
        <v>5</v>
      </c>
      <c r="H647" s="14" t="s">
        <v>5</v>
      </c>
      <c r="I647" s="15" t="s">
        <v>119</v>
      </c>
      <c r="J647" s="39"/>
      <c r="K647" s="33">
        <f t="shared" si="54"/>
        <v>-16907.580000000002</v>
      </c>
      <c r="L647" s="33"/>
    </row>
    <row r="648" spans="1:16" ht="15.75" hidden="1">
      <c r="A648" s="28">
        <v>6</v>
      </c>
      <c r="B648" s="14" t="s">
        <v>6</v>
      </c>
      <c r="C648" s="15" t="s">
        <v>119</v>
      </c>
      <c r="D648" s="39">
        <v>-2130.8000000000002</v>
      </c>
      <c r="E648" s="33">
        <f t="shared" si="53"/>
        <v>-19481.88</v>
      </c>
      <c r="F648" s="8"/>
      <c r="G648" s="38">
        <v>6</v>
      </c>
      <c r="H648" s="14" t="s">
        <v>6</v>
      </c>
      <c r="I648" s="15" t="s">
        <v>119</v>
      </c>
      <c r="J648" s="39">
        <v>-2383.2600000000002</v>
      </c>
      <c r="K648" s="33">
        <f t="shared" si="54"/>
        <v>-19290.84</v>
      </c>
      <c r="L648" s="33">
        <f t="shared" si="52"/>
        <v>-252.46</v>
      </c>
    </row>
    <row r="649" spans="1:16" ht="15.75" hidden="1">
      <c r="A649" s="28">
        <v>7</v>
      </c>
      <c r="B649" s="14" t="s">
        <v>7</v>
      </c>
      <c r="C649" s="15" t="s">
        <v>119</v>
      </c>
      <c r="D649" s="39">
        <v>-257.39999999999998</v>
      </c>
      <c r="E649" s="33">
        <f t="shared" si="53"/>
        <v>-19739.28</v>
      </c>
      <c r="F649" s="8"/>
      <c r="G649" s="38">
        <v>7</v>
      </c>
      <c r="H649" s="14" t="s">
        <v>7</v>
      </c>
      <c r="I649" s="15" t="s">
        <v>119</v>
      </c>
      <c r="J649" s="39">
        <v>-203.7</v>
      </c>
      <c r="K649" s="33">
        <f t="shared" si="54"/>
        <v>-19494.54</v>
      </c>
      <c r="L649" s="33">
        <f t="shared" si="52"/>
        <v>53.7</v>
      </c>
    </row>
    <row r="650" spans="1:16" ht="15.75" hidden="1">
      <c r="A650" s="28">
        <v>8</v>
      </c>
      <c r="B650" s="14" t="s">
        <v>8</v>
      </c>
      <c r="C650" s="15" t="s">
        <v>119</v>
      </c>
      <c r="D650" s="39">
        <v>-159.5</v>
      </c>
      <c r="E650" s="33">
        <f t="shared" si="53"/>
        <v>-19898.78</v>
      </c>
      <c r="F650" s="8"/>
      <c r="G650" s="38">
        <v>8</v>
      </c>
      <c r="H650" s="14" t="s">
        <v>8</v>
      </c>
      <c r="I650" s="15" t="s">
        <v>119</v>
      </c>
      <c r="J650" s="39"/>
      <c r="K650" s="33">
        <f t="shared" si="54"/>
        <v>-19494.54</v>
      </c>
      <c r="L650" s="33">
        <f t="shared" si="52"/>
        <v>159.5</v>
      </c>
    </row>
    <row r="651" spans="1:16" ht="15.75" hidden="1">
      <c r="A651" s="28">
        <v>9</v>
      </c>
      <c r="B651" s="14" t="s">
        <v>9</v>
      </c>
      <c r="C651" s="15" t="s">
        <v>119</v>
      </c>
      <c r="D651" s="39">
        <v>-3339.2</v>
      </c>
      <c r="E651" s="33">
        <f t="shared" si="53"/>
        <v>-23237.98</v>
      </c>
      <c r="F651" s="8"/>
      <c r="G651" s="38">
        <v>9</v>
      </c>
      <c r="H651" s="14" t="s">
        <v>9</v>
      </c>
      <c r="I651" s="15" t="s">
        <v>119</v>
      </c>
      <c r="J651" s="39">
        <v>-3217.8</v>
      </c>
      <c r="K651" s="33">
        <f t="shared" si="54"/>
        <v>-22712.34</v>
      </c>
      <c r="L651" s="33">
        <f t="shared" si="52"/>
        <v>121.4</v>
      </c>
    </row>
    <row r="652" spans="1:16" ht="15.75" hidden="1">
      <c r="A652" s="28">
        <v>10</v>
      </c>
      <c r="B652" s="14" t="s">
        <v>10</v>
      </c>
      <c r="C652" s="15" t="s">
        <v>119</v>
      </c>
      <c r="D652" s="39">
        <v>-791.39</v>
      </c>
      <c r="E652" s="33">
        <f t="shared" si="53"/>
        <v>-24029.37</v>
      </c>
      <c r="F652" s="8"/>
      <c r="G652" s="38">
        <v>10</v>
      </c>
      <c r="H652" s="14" t="s">
        <v>10</v>
      </c>
      <c r="I652" s="15" t="s">
        <v>119</v>
      </c>
      <c r="J652" s="39"/>
      <c r="K652" s="33">
        <f t="shared" si="54"/>
        <v>-22712.34</v>
      </c>
      <c r="L652" s="33">
        <f t="shared" si="52"/>
        <v>791.39</v>
      </c>
    </row>
    <row r="653" spans="1:16" ht="15.75" hidden="1">
      <c r="A653" s="28">
        <v>11</v>
      </c>
      <c r="B653" s="43" t="s">
        <v>11</v>
      </c>
      <c r="C653" s="23" t="s">
        <v>119</v>
      </c>
      <c r="D653" s="39"/>
      <c r="E653" s="44">
        <f t="shared" si="53"/>
        <v>-24029.37</v>
      </c>
      <c r="F653" s="8"/>
      <c r="G653" s="38">
        <v>11</v>
      </c>
      <c r="H653" s="43" t="s">
        <v>11</v>
      </c>
      <c r="I653" s="23" t="s">
        <v>119</v>
      </c>
      <c r="J653" s="39"/>
      <c r="K653" s="33">
        <f t="shared" si="54"/>
        <v>-22712.34</v>
      </c>
      <c r="L653" s="33"/>
    </row>
    <row r="654" spans="1:16" ht="15.75" hidden="1">
      <c r="A654" s="28">
        <v>12</v>
      </c>
      <c r="B654" s="25" t="s">
        <v>12</v>
      </c>
      <c r="C654" s="26" t="s">
        <v>123</v>
      </c>
      <c r="D654" s="39">
        <v>-25187.9</v>
      </c>
      <c r="E654" s="30">
        <f t="shared" si="53"/>
        <v>-49217.27</v>
      </c>
      <c r="F654" s="8"/>
      <c r="G654" s="38">
        <v>12</v>
      </c>
      <c r="H654" s="25" t="s">
        <v>12</v>
      </c>
      <c r="I654" s="26" t="s">
        <v>123</v>
      </c>
      <c r="J654" s="39">
        <v>-25168.6</v>
      </c>
      <c r="K654" s="33">
        <f t="shared" si="54"/>
        <v>-47880.94</v>
      </c>
      <c r="L654" s="33">
        <f t="shared" si="52"/>
        <v>19.3000000000029</v>
      </c>
    </row>
    <row r="655" spans="1:16" ht="15.75" hidden="1">
      <c r="A655" s="28">
        <v>13</v>
      </c>
      <c r="B655" s="14" t="s">
        <v>13</v>
      </c>
      <c r="C655" s="15" t="s">
        <v>123</v>
      </c>
      <c r="D655" s="39">
        <v>-5361.9</v>
      </c>
      <c r="E655" s="33">
        <f t="shared" si="53"/>
        <v>-54579.17</v>
      </c>
      <c r="F655" s="8"/>
      <c r="G655" s="38">
        <v>13</v>
      </c>
      <c r="H655" s="14" t="s">
        <v>13</v>
      </c>
      <c r="I655" s="15" t="s">
        <v>123</v>
      </c>
      <c r="J655" s="39">
        <v>-5253.4</v>
      </c>
      <c r="K655" s="33">
        <f t="shared" si="54"/>
        <v>-53134.34</v>
      </c>
      <c r="L655" s="33">
        <f t="shared" si="52"/>
        <v>108.5</v>
      </c>
    </row>
    <row r="656" spans="1:16" ht="15.75" hidden="1">
      <c r="A656" s="28">
        <v>14</v>
      </c>
      <c r="B656" s="14" t="s">
        <v>14</v>
      </c>
      <c r="C656" s="15" t="s">
        <v>123</v>
      </c>
      <c r="D656" s="39">
        <v>-1741.3</v>
      </c>
      <c r="E656" s="33">
        <f t="shared" si="53"/>
        <v>-56320.47</v>
      </c>
      <c r="F656" s="8"/>
      <c r="G656" s="38">
        <v>14</v>
      </c>
      <c r="H656" s="14" t="s">
        <v>14</v>
      </c>
      <c r="I656" s="15" t="s">
        <v>123</v>
      </c>
      <c r="J656" s="39">
        <v>-1950.1</v>
      </c>
      <c r="K656" s="33">
        <f t="shared" si="54"/>
        <v>-55084.44</v>
      </c>
      <c r="L656" s="33">
        <f t="shared" si="52"/>
        <v>-208.8</v>
      </c>
    </row>
    <row r="657" spans="1:12" ht="15.75" hidden="1">
      <c r="A657" s="28">
        <v>15</v>
      </c>
      <c r="B657" s="14" t="s">
        <v>15</v>
      </c>
      <c r="C657" s="15" t="s">
        <v>123</v>
      </c>
      <c r="D657" s="39">
        <v>-39240.699999999997</v>
      </c>
      <c r="E657" s="33">
        <f t="shared" si="53"/>
        <v>-95561.17</v>
      </c>
      <c r="F657" s="8"/>
      <c r="G657" s="38">
        <v>15</v>
      </c>
      <c r="H657" s="14" t="s">
        <v>15</v>
      </c>
      <c r="I657" s="15" t="s">
        <v>123</v>
      </c>
      <c r="J657" s="39">
        <v>-39925.199999999997</v>
      </c>
      <c r="K657" s="33">
        <f t="shared" si="54"/>
        <v>-95009.64</v>
      </c>
      <c r="L657" s="33">
        <f t="shared" si="52"/>
        <v>-684.5</v>
      </c>
    </row>
    <row r="658" spans="1:12" ht="15.75" hidden="1">
      <c r="A658" s="28">
        <v>16</v>
      </c>
      <c r="B658" s="14" t="s">
        <v>16</v>
      </c>
      <c r="C658" s="15" t="s">
        <v>123</v>
      </c>
      <c r="D658" s="39">
        <v>-5666.81</v>
      </c>
      <c r="E658" s="33">
        <f t="shared" si="53"/>
        <v>-101227.98</v>
      </c>
      <c r="F658" s="8"/>
      <c r="G658" s="38">
        <v>16</v>
      </c>
      <c r="H658" s="14" t="s">
        <v>16</v>
      </c>
      <c r="I658" s="15" t="s">
        <v>123</v>
      </c>
      <c r="J658" s="39">
        <v>-5519.81</v>
      </c>
      <c r="K658" s="33">
        <f t="shared" si="54"/>
        <v>-100529.45</v>
      </c>
      <c r="L658" s="33">
        <f t="shared" si="52"/>
        <v>147</v>
      </c>
    </row>
    <row r="659" spans="1:12" ht="15.75" hidden="1">
      <c r="A659" s="28">
        <v>17</v>
      </c>
      <c r="B659" s="14" t="s">
        <v>17</v>
      </c>
      <c r="C659" s="15" t="s">
        <v>123</v>
      </c>
      <c r="D659" s="39"/>
      <c r="E659" s="33">
        <f t="shared" si="53"/>
        <v>-101227.98</v>
      </c>
      <c r="F659" s="8"/>
      <c r="G659" s="38">
        <v>17</v>
      </c>
      <c r="H659" s="14" t="s">
        <v>17</v>
      </c>
      <c r="I659" s="15" t="s">
        <v>123</v>
      </c>
      <c r="J659" s="39"/>
      <c r="K659" s="33">
        <f t="shared" si="54"/>
        <v>-100529.45</v>
      </c>
      <c r="L659" s="33"/>
    </row>
    <row r="660" spans="1:12" ht="15.75" hidden="1">
      <c r="A660" s="28">
        <v>18</v>
      </c>
      <c r="B660" s="45" t="s">
        <v>125</v>
      </c>
      <c r="C660" s="46" t="s">
        <v>123</v>
      </c>
      <c r="D660" s="39">
        <v>-29787.200000000001</v>
      </c>
      <c r="E660" s="33">
        <f t="shared" si="53"/>
        <v>-131015.18</v>
      </c>
      <c r="F660" s="8"/>
      <c r="G660" s="38">
        <v>18</v>
      </c>
      <c r="H660" s="45" t="s">
        <v>124</v>
      </c>
      <c r="I660" s="46" t="s">
        <v>123</v>
      </c>
      <c r="J660" s="39">
        <v>-29967.599999999999</v>
      </c>
      <c r="K660" s="33">
        <f t="shared" si="54"/>
        <v>-130497.05</v>
      </c>
      <c r="L660" s="33">
        <f t="shared" si="52"/>
        <v>-180.39999999999799</v>
      </c>
    </row>
    <row r="661" spans="1:12" ht="15.75" hidden="1">
      <c r="A661" s="28">
        <v>19</v>
      </c>
      <c r="B661" s="45" t="s">
        <v>19</v>
      </c>
      <c r="C661" s="46" t="s">
        <v>123</v>
      </c>
      <c r="D661" s="39">
        <v>-28629.99</v>
      </c>
      <c r="E661" s="33">
        <f t="shared" si="53"/>
        <v>-159645.17000000001</v>
      </c>
      <c r="F661" s="8"/>
      <c r="G661" s="38">
        <v>19</v>
      </c>
      <c r="H661" s="14" t="s">
        <v>19</v>
      </c>
      <c r="I661" s="15" t="s">
        <v>123</v>
      </c>
      <c r="J661" s="39">
        <v>-28588.49</v>
      </c>
      <c r="K661" s="33">
        <f t="shared" si="54"/>
        <v>-159085.54</v>
      </c>
      <c r="L661" s="33">
        <f t="shared" si="52"/>
        <v>41.5</v>
      </c>
    </row>
    <row r="662" spans="1:12" ht="15.75" hidden="1">
      <c r="A662" s="28">
        <v>20</v>
      </c>
      <c r="B662" s="14" t="s">
        <v>20</v>
      </c>
      <c r="C662" s="15" t="s">
        <v>123</v>
      </c>
      <c r="D662" s="39">
        <v>-7020.24</v>
      </c>
      <c r="E662" s="33">
        <f t="shared" si="53"/>
        <v>-166665.41</v>
      </c>
      <c r="F662" s="8"/>
      <c r="G662" s="38">
        <v>20</v>
      </c>
      <c r="H662" s="14" t="s">
        <v>20</v>
      </c>
      <c r="I662" s="15" t="s">
        <v>123</v>
      </c>
      <c r="J662" s="39">
        <v>-7237.54</v>
      </c>
      <c r="K662" s="33">
        <f t="shared" si="54"/>
        <v>-166323.07999999999</v>
      </c>
      <c r="L662" s="33">
        <f t="shared" si="52"/>
        <v>-217.3</v>
      </c>
    </row>
    <row r="663" spans="1:12" ht="15.75" hidden="1">
      <c r="A663" s="28">
        <v>21</v>
      </c>
      <c r="B663" s="43" t="s">
        <v>21</v>
      </c>
      <c r="C663" s="23" t="s">
        <v>123</v>
      </c>
      <c r="D663" s="39">
        <v>-7814.6</v>
      </c>
      <c r="E663" s="44">
        <f t="shared" si="53"/>
        <v>-174480.01</v>
      </c>
      <c r="F663" s="8"/>
      <c r="G663" s="38">
        <v>21</v>
      </c>
      <c r="H663" s="43" t="s">
        <v>21</v>
      </c>
      <c r="I663" s="23" t="s">
        <v>123</v>
      </c>
      <c r="J663" s="39">
        <v>-8109</v>
      </c>
      <c r="K663" s="33">
        <f t="shared" si="54"/>
        <v>-174432.08</v>
      </c>
      <c r="L663" s="33">
        <f t="shared" si="52"/>
        <v>-294.39999999999998</v>
      </c>
    </row>
    <row r="664" spans="1:12" ht="15.75" hidden="1">
      <c r="A664" s="28">
        <v>22</v>
      </c>
      <c r="B664" s="25" t="s">
        <v>22</v>
      </c>
      <c r="C664" s="26" t="s">
        <v>126</v>
      </c>
      <c r="D664" s="39"/>
      <c r="E664" s="30">
        <f t="shared" si="53"/>
        <v>-174480.01</v>
      </c>
      <c r="F664" s="8"/>
      <c r="G664" s="38">
        <v>22</v>
      </c>
      <c r="H664" s="25" t="s">
        <v>22</v>
      </c>
      <c r="I664" s="26" t="s">
        <v>126</v>
      </c>
      <c r="J664" s="39"/>
      <c r="K664" s="33">
        <f t="shared" si="54"/>
        <v>-174432.08</v>
      </c>
      <c r="L664" s="33"/>
    </row>
    <row r="665" spans="1:12" ht="15.75" hidden="1">
      <c r="A665" s="28">
        <v>23</v>
      </c>
      <c r="B665" s="14" t="s">
        <v>23</v>
      </c>
      <c r="C665" s="15" t="s">
        <v>126</v>
      </c>
      <c r="D665" s="39">
        <v>-4253.3500000000004</v>
      </c>
      <c r="E665" s="33">
        <f t="shared" si="53"/>
        <v>-178733.36</v>
      </c>
      <c r="F665" s="8"/>
      <c r="G665" s="38">
        <v>23</v>
      </c>
      <c r="H665" s="14" t="s">
        <v>23</v>
      </c>
      <c r="I665" s="15" t="s">
        <v>126</v>
      </c>
      <c r="J665" s="39">
        <v>-3299.35</v>
      </c>
      <c r="K665" s="33">
        <f t="shared" si="54"/>
        <v>-177731.43</v>
      </c>
      <c r="L665" s="33">
        <f t="shared" si="52"/>
        <v>954</v>
      </c>
    </row>
    <row r="666" spans="1:12" ht="15.75" hidden="1">
      <c r="A666" s="28">
        <v>24</v>
      </c>
      <c r="B666" s="14" t="s">
        <v>24</v>
      </c>
      <c r="C666" s="15" t="s">
        <v>126</v>
      </c>
      <c r="D666" s="39">
        <v>-929.5</v>
      </c>
      <c r="E666" s="33">
        <f t="shared" si="53"/>
        <v>-179662.86</v>
      </c>
      <c r="F666" s="8"/>
      <c r="G666" s="38">
        <v>24</v>
      </c>
      <c r="H666" s="14" t="s">
        <v>24</v>
      </c>
      <c r="I666" s="15" t="s">
        <v>126</v>
      </c>
      <c r="J666" s="39">
        <v>-885.75</v>
      </c>
      <c r="K666" s="33">
        <f t="shared" si="54"/>
        <v>-178617.18</v>
      </c>
      <c r="L666" s="33">
        <f t="shared" si="52"/>
        <v>43.75</v>
      </c>
    </row>
    <row r="667" spans="1:12" ht="15.75" hidden="1">
      <c r="A667" s="28">
        <v>25</v>
      </c>
      <c r="B667" s="14" t="s">
        <v>128</v>
      </c>
      <c r="C667" s="15" t="s">
        <v>126</v>
      </c>
      <c r="D667" s="39"/>
      <c r="E667" s="33">
        <f t="shared" si="53"/>
        <v>-179662.86</v>
      </c>
      <c r="F667" s="8"/>
      <c r="G667" s="38">
        <v>25</v>
      </c>
      <c r="H667" s="14" t="s">
        <v>128</v>
      </c>
      <c r="I667" s="15" t="s">
        <v>126</v>
      </c>
      <c r="J667" s="39"/>
      <c r="K667" s="33">
        <f t="shared" si="54"/>
        <v>-178617.18</v>
      </c>
      <c r="L667" s="33"/>
    </row>
    <row r="668" spans="1:12" ht="15.75" hidden="1">
      <c r="A668" s="28">
        <v>26</v>
      </c>
      <c r="B668" s="47" t="s">
        <v>127</v>
      </c>
      <c r="C668" s="15" t="s">
        <v>126</v>
      </c>
      <c r="D668" s="39"/>
      <c r="E668" s="33">
        <f t="shared" si="53"/>
        <v>-179662.86</v>
      </c>
      <c r="F668" s="8"/>
      <c r="G668" s="38">
        <v>26</v>
      </c>
      <c r="H668" s="47" t="s">
        <v>127</v>
      </c>
      <c r="I668" s="15" t="s">
        <v>126</v>
      </c>
      <c r="J668" s="39"/>
      <c r="K668" s="33">
        <f t="shared" si="54"/>
        <v>-178617.18</v>
      </c>
      <c r="L668" s="33"/>
    </row>
    <row r="669" spans="1:12" ht="15.75" hidden="1">
      <c r="A669" s="28">
        <v>27</v>
      </c>
      <c r="B669" s="14" t="s">
        <v>27</v>
      </c>
      <c r="C669" s="15" t="s">
        <v>126</v>
      </c>
      <c r="D669" s="39">
        <v>-862.45</v>
      </c>
      <c r="E669" s="33">
        <f t="shared" si="53"/>
        <v>-180525.31</v>
      </c>
      <c r="F669" s="8"/>
      <c r="G669" s="38">
        <v>27</v>
      </c>
      <c r="H669" s="14" t="s">
        <v>27</v>
      </c>
      <c r="I669" s="15" t="s">
        <v>126</v>
      </c>
      <c r="J669" s="39">
        <v>-1253.6500000000001</v>
      </c>
      <c r="K669" s="33">
        <f t="shared" si="54"/>
        <v>-179870.83</v>
      </c>
      <c r="L669" s="33">
        <f t="shared" si="52"/>
        <v>-391.2</v>
      </c>
    </row>
    <row r="670" spans="1:12" ht="15.75" hidden="1">
      <c r="A670" s="28">
        <v>28</v>
      </c>
      <c r="B670" s="43" t="s">
        <v>28</v>
      </c>
      <c r="C670" s="23" t="s">
        <v>126</v>
      </c>
      <c r="D670" s="39">
        <v>-199.84</v>
      </c>
      <c r="E670" s="33">
        <f t="shared" si="53"/>
        <v>-180725.15</v>
      </c>
      <c r="F670" s="8"/>
      <c r="G670" s="38">
        <v>28</v>
      </c>
      <c r="H670" s="14" t="s">
        <v>28</v>
      </c>
      <c r="I670" s="15" t="s">
        <v>126</v>
      </c>
      <c r="J670" s="39">
        <v>-562.44000000000005</v>
      </c>
      <c r="K670" s="33">
        <f t="shared" si="54"/>
        <v>-180433.27</v>
      </c>
      <c r="L670" s="33">
        <f t="shared" si="52"/>
        <v>-362.6</v>
      </c>
    </row>
    <row r="671" spans="1:12" ht="15.75" hidden="1">
      <c r="A671" s="28">
        <v>29</v>
      </c>
      <c r="B671" s="25" t="s">
        <v>29</v>
      </c>
      <c r="C671" s="26" t="s">
        <v>129</v>
      </c>
      <c r="D671" s="39"/>
      <c r="E671" s="30">
        <f t="shared" si="53"/>
        <v>-180725.15</v>
      </c>
      <c r="F671" s="8"/>
      <c r="G671" s="38">
        <v>29</v>
      </c>
      <c r="H671" s="25" t="s">
        <v>29</v>
      </c>
      <c r="I671" s="26" t="s">
        <v>129</v>
      </c>
      <c r="J671" s="39"/>
      <c r="K671" s="33">
        <f t="shared" si="54"/>
        <v>-180433.27</v>
      </c>
      <c r="L671" s="33"/>
    </row>
    <row r="672" spans="1:12" ht="15.75" hidden="1">
      <c r="A672" s="28">
        <f t="shared" ref="A672:A735" si="55">A671+1</f>
        <v>30</v>
      </c>
      <c r="B672" s="14" t="s">
        <v>30</v>
      </c>
      <c r="C672" s="15" t="s">
        <v>129</v>
      </c>
      <c r="D672" s="39"/>
      <c r="E672" s="33">
        <f t="shared" si="53"/>
        <v>-180725.15</v>
      </c>
      <c r="F672" s="8"/>
      <c r="G672" s="38">
        <f t="shared" ref="G672:G735" si="56">G671+1</f>
        <v>30</v>
      </c>
      <c r="H672" s="14" t="s">
        <v>30</v>
      </c>
      <c r="I672" s="15" t="s">
        <v>129</v>
      </c>
      <c r="J672" s="39"/>
      <c r="K672" s="33">
        <f t="shared" si="54"/>
        <v>-180433.27</v>
      </c>
      <c r="L672" s="33"/>
    </row>
    <row r="673" spans="1:12" ht="15.75" hidden="1">
      <c r="A673" s="28">
        <f t="shared" si="55"/>
        <v>31</v>
      </c>
      <c r="B673" s="14" t="s">
        <v>31</v>
      </c>
      <c r="C673" s="15" t="s">
        <v>129</v>
      </c>
      <c r="D673" s="39">
        <v>-1641.5</v>
      </c>
      <c r="E673" s="33">
        <f t="shared" si="53"/>
        <v>-182366.65</v>
      </c>
      <c r="F673" s="8"/>
      <c r="G673" s="38">
        <f t="shared" si="56"/>
        <v>31</v>
      </c>
      <c r="H673" s="14" t="s">
        <v>31</v>
      </c>
      <c r="I673" s="15" t="s">
        <v>129</v>
      </c>
      <c r="J673" s="39">
        <v>-1692.4</v>
      </c>
      <c r="K673" s="33">
        <f t="shared" si="54"/>
        <v>-182125.67</v>
      </c>
      <c r="L673" s="33">
        <f t="shared" si="52"/>
        <v>-50.900000000000098</v>
      </c>
    </row>
    <row r="674" spans="1:12" ht="15.75" hidden="1">
      <c r="A674" s="28">
        <f t="shared" si="55"/>
        <v>32</v>
      </c>
      <c r="B674" s="14" t="s">
        <v>32</v>
      </c>
      <c r="C674" s="15" t="s">
        <v>129</v>
      </c>
      <c r="D674" s="39"/>
      <c r="E674" s="33">
        <f t="shared" si="53"/>
        <v>-182366.65</v>
      </c>
      <c r="F674" s="8"/>
      <c r="G674" s="38">
        <f t="shared" si="56"/>
        <v>32</v>
      </c>
      <c r="H674" s="14" t="s">
        <v>32</v>
      </c>
      <c r="I674" s="15" t="s">
        <v>129</v>
      </c>
      <c r="J674" s="39"/>
      <c r="K674" s="33">
        <f t="shared" si="54"/>
        <v>-182125.67</v>
      </c>
      <c r="L674" s="33"/>
    </row>
    <row r="675" spans="1:12" ht="15.75" hidden="1">
      <c r="A675" s="28">
        <f t="shared" si="55"/>
        <v>33</v>
      </c>
      <c r="B675" s="14" t="s">
        <v>33</v>
      </c>
      <c r="C675" s="15" t="s">
        <v>129</v>
      </c>
      <c r="D675" s="39"/>
      <c r="E675" s="33">
        <f t="shared" si="53"/>
        <v>-182366.65</v>
      </c>
      <c r="F675" s="8"/>
      <c r="G675" s="38">
        <f t="shared" si="56"/>
        <v>33</v>
      </c>
      <c r="H675" s="14" t="s">
        <v>33</v>
      </c>
      <c r="I675" s="15" t="s">
        <v>129</v>
      </c>
      <c r="J675" s="39"/>
      <c r="K675" s="33">
        <f t="shared" si="54"/>
        <v>-182125.67</v>
      </c>
      <c r="L675" s="33"/>
    </row>
    <row r="676" spans="1:12" ht="15.75" hidden="1">
      <c r="A676" s="28">
        <f t="shared" si="55"/>
        <v>34</v>
      </c>
      <c r="B676" s="14" t="s">
        <v>34</v>
      </c>
      <c r="C676" s="15" t="s">
        <v>129</v>
      </c>
      <c r="D676" s="39">
        <v>-8661.1299999999992</v>
      </c>
      <c r="E676" s="33">
        <f t="shared" si="53"/>
        <v>-191027.78</v>
      </c>
      <c r="F676" s="8"/>
      <c r="G676" s="38">
        <f t="shared" si="56"/>
        <v>34</v>
      </c>
      <c r="H676" s="14" t="s">
        <v>34</v>
      </c>
      <c r="I676" s="15" t="s">
        <v>129</v>
      </c>
      <c r="J676" s="39">
        <v>-7919.83</v>
      </c>
      <c r="K676" s="33">
        <f t="shared" si="54"/>
        <v>-190045.5</v>
      </c>
      <c r="L676" s="33">
        <f t="shared" si="52"/>
        <v>741.29999999999905</v>
      </c>
    </row>
    <row r="677" spans="1:12" ht="15.75" hidden="1">
      <c r="A677" s="28">
        <f t="shared" si="55"/>
        <v>35</v>
      </c>
      <c r="B677" s="14" t="s">
        <v>131</v>
      </c>
      <c r="C677" s="15" t="s">
        <v>129</v>
      </c>
      <c r="D677" s="39"/>
      <c r="E677" s="33">
        <f t="shared" si="53"/>
        <v>-191027.78</v>
      </c>
      <c r="F677" s="8"/>
      <c r="G677" s="38">
        <f t="shared" si="56"/>
        <v>35</v>
      </c>
      <c r="H677" s="14" t="s">
        <v>131</v>
      </c>
      <c r="I677" s="15" t="s">
        <v>129</v>
      </c>
      <c r="J677" s="39"/>
      <c r="K677" s="33">
        <f t="shared" si="54"/>
        <v>-190045.5</v>
      </c>
      <c r="L677" s="33"/>
    </row>
    <row r="678" spans="1:12" ht="15.75" hidden="1">
      <c r="A678" s="28">
        <f t="shared" si="55"/>
        <v>36</v>
      </c>
      <c r="B678" s="14" t="s">
        <v>36</v>
      </c>
      <c r="C678" s="15" t="s">
        <v>129</v>
      </c>
      <c r="D678" s="39">
        <v>-4151.43</v>
      </c>
      <c r="E678" s="33">
        <f t="shared" si="53"/>
        <v>-195179.21</v>
      </c>
      <c r="F678" s="8"/>
      <c r="G678" s="38">
        <f t="shared" si="56"/>
        <v>36</v>
      </c>
      <c r="H678" s="14" t="s">
        <v>36</v>
      </c>
      <c r="I678" s="15" t="s">
        <v>129</v>
      </c>
      <c r="J678" s="39">
        <v>-4242.33</v>
      </c>
      <c r="K678" s="33">
        <f t="shared" si="54"/>
        <v>-194287.83</v>
      </c>
      <c r="L678" s="33">
        <f t="shared" si="52"/>
        <v>-90.899999999999594</v>
      </c>
    </row>
    <row r="679" spans="1:12" ht="15.75" hidden="1">
      <c r="A679" s="28">
        <f t="shared" si="55"/>
        <v>37</v>
      </c>
      <c r="B679" s="14" t="s">
        <v>37</v>
      </c>
      <c r="C679" s="15" t="s">
        <v>129</v>
      </c>
      <c r="D679" s="39">
        <v>-12610.43</v>
      </c>
      <c r="E679" s="33">
        <f t="shared" si="53"/>
        <v>-207789.64</v>
      </c>
      <c r="F679" s="8"/>
      <c r="G679" s="38">
        <f t="shared" si="56"/>
        <v>37</v>
      </c>
      <c r="H679" s="14" t="s">
        <v>37</v>
      </c>
      <c r="I679" s="15" t="s">
        <v>129</v>
      </c>
      <c r="J679" s="39">
        <v>-11903.37</v>
      </c>
      <c r="K679" s="33">
        <f t="shared" si="54"/>
        <v>-206191.2</v>
      </c>
      <c r="L679" s="33">
        <f t="shared" si="52"/>
        <v>707.05999999999904</v>
      </c>
    </row>
    <row r="680" spans="1:12" ht="15.75" hidden="1">
      <c r="A680" s="28">
        <f t="shared" si="55"/>
        <v>38</v>
      </c>
      <c r="B680" s="43" t="s">
        <v>38</v>
      </c>
      <c r="C680" s="23" t="s">
        <v>130</v>
      </c>
      <c r="D680" s="39">
        <v>-456.6</v>
      </c>
      <c r="E680" s="44">
        <f t="shared" si="53"/>
        <v>-208246.24</v>
      </c>
      <c r="F680" s="8"/>
      <c r="G680" s="38">
        <f t="shared" si="56"/>
        <v>38</v>
      </c>
      <c r="H680" s="43" t="s">
        <v>38</v>
      </c>
      <c r="I680" s="23" t="s">
        <v>130</v>
      </c>
      <c r="J680" s="39">
        <v>-460.3</v>
      </c>
      <c r="K680" s="33">
        <f t="shared" si="54"/>
        <v>-206651.5</v>
      </c>
      <c r="L680" s="33">
        <f t="shared" si="52"/>
        <v>-3.69999999999999</v>
      </c>
    </row>
    <row r="681" spans="1:12" ht="15.75" hidden="1">
      <c r="A681" s="28">
        <f t="shared" si="55"/>
        <v>39</v>
      </c>
      <c r="B681" s="25" t="s">
        <v>39</v>
      </c>
      <c r="C681" s="26" t="s">
        <v>132</v>
      </c>
      <c r="D681" s="39"/>
      <c r="E681" s="30">
        <f t="shared" si="53"/>
        <v>-208246.24</v>
      </c>
      <c r="F681" s="8"/>
      <c r="G681" s="38">
        <f t="shared" si="56"/>
        <v>39</v>
      </c>
      <c r="H681" s="25" t="s">
        <v>39</v>
      </c>
      <c r="I681" s="26" t="s">
        <v>132</v>
      </c>
      <c r="J681" s="39"/>
      <c r="K681" s="33">
        <f t="shared" si="54"/>
        <v>-206651.5</v>
      </c>
      <c r="L681" s="33"/>
    </row>
    <row r="682" spans="1:12" ht="15.75" hidden="1">
      <c r="A682" s="28">
        <f t="shared" si="55"/>
        <v>40</v>
      </c>
      <c r="B682" s="14" t="s">
        <v>40</v>
      </c>
      <c r="C682" s="15" t="s">
        <v>132</v>
      </c>
      <c r="D682" s="39"/>
      <c r="E682" s="33">
        <f t="shared" si="53"/>
        <v>-208246.24</v>
      </c>
      <c r="F682" s="8"/>
      <c r="G682" s="38">
        <f t="shared" si="56"/>
        <v>40</v>
      </c>
      <c r="H682" s="14" t="s">
        <v>40</v>
      </c>
      <c r="I682" s="15" t="s">
        <v>132</v>
      </c>
      <c r="J682" s="39"/>
      <c r="K682" s="33">
        <f t="shared" si="54"/>
        <v>-206651.5</v>
      </c>
      <c r="L682" s="33"/>
    </row>
    <row r="683" spans="1:12" ht="15.75" hidden="1">
      <c r="A683" s="28">
        <f t="shared" si="55"/>
        <v>41</v>
      </c>
      <c r="B683" s="14" t="s">
        <v>41</v>
      </c>
      <c r="C683" s="15" t="s">
        <v>132</v>
      </c>
      <c r="D683" s="39">
        <v>-15936.94</v>
      </c>
      <c r="E683" s="33">
        <f t="shared" si="53"/>
        <v>-224183.18</v>
      </c>
      <c r="F683" s="8"/>
      <c r="G683" s="38">
        <f t="shared" si="56"/>
        <v>41</v>
      </c>
      <c r="H683" s="14" t="s">
        <v>41</v>
      </c>
      <c r="I683" s="15" t="s">
        <v>132</v>
      </c>
      <c r="J683" s="39">
        <v>-15476.44</v>
      </c>
      <c r="K683" s="33">
        <f t="shared" si="54"/>
        <v>-222127.94</v>
      </c>
      <c r="L683" s="33">
        <f t="shared" si="52"/>
        <v>460.5</v>
      </c>
    </row>
    <row r="684" spans="1:12" ht="15.75" hidden="1">
      <c r="A684" s="28">
        <f t="shared" si="55"/>
        <v>42</v>
      </c>
      <c r="B684" s="14" t="s">
        <v>42</v>
      </c>
      <c r="C684" s="15" t="s">
        <v>132</v>
      </c>
      <c r="D684" s="39">
        <v>-2373.0700000000002</v>
      </c>
      <c r="E684" s="33">
        <f t="shared" si="53"/>
        <v>-226556.25</v>
      </c>
      <c r="F684" s="8"/>
      <c r="G684" s="38">
        <f t="shared" si="56"/>
        <v>42</v>
      </c>
      <c r="H684" s="14" t="s">
        <v>42</v>
      </c>
      <c r="I684" s="15" t="s">
        <v>132</v>
      </c>
      <c r="J684" s="39">
        <v>-2198.58</v>
      </c>
      <c r="K684" s="33">
        <f t="shared" si="54"/>
        <v>-224326.52</v>
      </c>
      <c r="L684" s="33">
        <f t="shared" si="52"/>
        <v>174.49</v>
      </c>
    </row>
    <row r="685" spans="1:12" ht="15.75" hidden="1">
      <c r="A685" s="28">
        <f t="shared" si="55"/>
        <v>43</v>
      </c>
      <c r="B685" s="14" t="s">
        <v>43</v>
      </c>
      <c r="C685" s="15" t="s">
        <v>132</v>
      </c>
      <c r="D685" s="39">
        <v>-60.5</v>
      </c>
      <c r="E685" s="33">
        <f t="shared" si="53"/>
        <v>-226616.75</v>
      </c>
      <c r="F685" s="8"/>
      <c r="G685" s="38">
        <f t="shared" si="56"/>
        <v>43</v>
      </c>
      <c r="H685" s="14" t="s">
        <v>43</v>
      </c>
      <c r="I685" s="15" t="s">
        <v>132</v>
      </c>
      <c r="J685" s="39">
        <v>-313.99</v>
      </c>
      <c r="K685" s="33">
        <f t="shared" si="54"/>
        <v>-224640.51</v>
      </c>
      <c r="L685" s="33">
        <f t="shared" si="52"/>
        <v>-253.49</v>
      </c>
    </row>
    <row r="686" spans="1:12" ht="15.75" hidden="1">
      <c r="A686" s="28">
        <f t="shared" si="55"/>
        <v>44</v>
      </c>
      <c r="B686" s="14" t="s">
        <v>44</v>
      </c>
      <c r="C686" s="15" t="s">
        <v>132</v>
      </c>
      <c r="D686" s="39">
        <v>-2986.88</v>
      </c>
      <c r="E686" s="33">
        <f t="shared" si="53"/>
        <v>-229603.63</v>
      </c>
      <c r="F686" s="8"/>
      <c r="G686" s="38">
        <f t="shared" si="56"/>
        <v>44</v>
      </c>
      <c r="H686" s="14" t="s">
        <v>44</v>
      </c>
      <c r="I686" s="15" t="s">
        <v>132</v>
      </c>
      <c r="J686" s="39">
        <v>-3028.78</v>
      </c>
      <c r="K686" s="33">
        <f t="shared" si="54"/>
        <v>-227669.29</v>
      </c>
      <c r="L686" s="33">
        <f t="shared" si="52"/>
        <v>-41.900000000000098</v>
      </c>
    </row>
    <row r="687" spans="1:12" ht="15.75" hidden="1">
      <c r="A687" s="28">
        <f t="shared" si="55"/>
        <v>45</v>
      </c>
      <c r="B687" s="48" t="s">
        <v>45</v>
      </c>
      <c r="C687" s="49" t="s">
        <v>132</v>
      </c>
      <c r="D687" s="39">
        <v>-149.22999999999999</v>
      </c>
      <c r="E687" s="33">
        <f t="shared" si="53"/>
        <v>-229752.86</v>
      </c>
      <c r="F687" s="8"/>
      <c r="G687" s="38">
        <f t="shared" si="56"/>
        <v>45</v>
      </c>
      <c r="H687" s="48" t="s">
        <v>45</v>
      </c>
      <c r="I687" s="49" t="s">
        <v>132</v>
      </c>
      <c r="J687" s="39">
        <v>-453.33</v>
      </c>
      <c r="K687" s="33">
        <f t="shared" si="54"/>
        <v>-228122.62</v>
      </c>
      <c r="L687" s="33">
        <f t="shared" si="52"/>
        <v>-304.10000000000002</v>
      </c>
    </row>
    <row r="688" spans="1:12" ht="15.75" hidden="1">
      <c r="A688" s="28">
        <f t="shared" si="55"/>
        <v>46</v>
      </c>
      <c r="B688" s="50" t="s">
        <v>46</v>
      </c>
      <c r="C688" s="49" t="s">
        <v>132</v>
      </c>
      <c r="D688" s="39">
        <v>-18613.8</v>
      </c>
      <c r="E688" s="33">
        <f t="shared" si="53"/>
        <v>-248366.66</v>
      </c>
      <c r="F688" s="8"/>
      <c r="G688" s="38">
        <f t="shared" si="56"/>
        <v>46</v>
      </c>
      <c r="H688" s="50" t="s">
        <v>46</v>
      </c>
      <c r="I688" s="49" t="s">
        <v>132</v>
      </c>
      <c r="J688" s="39">
        <v>-18753.8</v>
      </c>
      <c r="K688" s="33">
        <f t="shared" si="54"/>
        <v>-246876.42</v>
      </c>
      <c r="L688" s="33">
        <f t="shared" si="52"/>
        <v>-140</v>
      </c>
    </row>
    <row r="689" spans="1:12" ht="15.75" hidden="1">
      <c r="A689" s="28">
        <f t="shared" si="55"/>
        <v>47</v>
      </c>
      <c r="B689" s="14" t="s">
        <v>47</v>
      </c>
      <c r="C689" s="15" t="s">
        <v>132</v>
      </c>
      <c r="D689" s="39">
        <v>-545.87</v>
      </c>
      <c r="E689" s="33">
        <f t="shared" si="53"/>
        <v>-248912.53</v>
      </c>
      <c r="F689" s="8"/>
      <c r="G689" s="38">
        <f t="shared" si="56"/>
        <v>47</v>
      </c>
      <c r="H689" s="14" t="s">
        <v>47</v>
      </c>
      <c r="I689" s="15" t="s">
        <v>132</v>
      </c>
      <c r="J689" s="39">
        <v>-282.67</v>
      </c>
      <c r="K689" s="33">
        <f t="shared" si="54"/>
        <v>-247159.09</v>
      </c>
      <c r="L689" s="33">
        <f t="shared" si="52"/>
        <v>263.2</v>
      </c>
    </row>
    <row r="690" spans="1:12" ht="15.75" hidden="1">
      <c r="A690" s="28">
        <f t="shared" si="55"/>
        <v>48</v>
      </c>
      <c r="B690" s="14" t="s">
        <v>48</v>
      </c>
      <c r="C690" s="15" t="s">
        <v>132</v>
      </c>
      <c r="D690" s="39"/>
      <c r="E690" s="33">
        <f t="shared" si="53"/>
        <v>-248912.53</v>
      </c>
      <c r="F690" s="8"/>
      <c r="G690" s="38">
        <f t="shared" si="56"/>
        <v>48</v>
      </c>
      <c r="H690" s="14" t="s">
        <v>48</v>
      </c>
      <c r="I690" s="15" t="s">
        <v>132</v>
      </c>
      <c r="J690" s="39"/>
      <c r="K690" s="33">
        <f t="shared" si="54"/>
        <v>-247159.09</v>
      </c>
      <c r="L690" s="33"/>
    </row>
    <row r="691" spans="1:12" ht="15.75" hidden="1">
      <c r="A691" s="28">
        <f t="shared" si="55"/>
        <v>49</v>
      </c>
      <c r="B691" s="14" t="s">
        <v>49</v>
      </c>
      <c r="C691" s="15" t="s">
        <v>132</v>
      </c>
      <c r="D691" s="39">
        <v>-807.32</v>
      </c>
      <c r="E691" s="33">
        <f t="shared" si="53"/>
        <v>-249719.85</v>
      </c>
      <c r="F691" s="8"/>
      <c r="G691" s="38">
        <f t="shared" si="56"/>
        <v>49</v>
      </c>
      <c r="H691" s="14" t="s">
        <v>49</v>
      </c>
      <c r="I691" s="15" t="s">
        <v>132</v>
      </c>
      <c r="J691" s="39">
        <v>-292.42</v>
      </c>
      <c r="K691" s="33">
        <f t="shared" si="54"/>
        <v>-247451.51</v>
      </c>
      <c r="L691" s="33">
        <f t="shared" si="52"/>
        <v>514.9</v>
      </c>
    </row>
    <row r="692" spans="1:12" ht="15.75" hidden="1">
      <c r="A692" s="28">
        <f t="shared" si="55"/>
        <v>50</v>
      </c>
      <c r="B692" s="43" t="s">
        <v>50</v>
      </c>
      <c r="C692" s="23" t="s">
        <v>132</v>
      </c>
      <c r="D692" s="39">
        <v>-333.46</v>
      </c>
      <c r="E692" s="33">
        <f t="shared" si="53"/>
        <v>-250053.31</v>
      </c>
      <c r="F692" s="8"/>
      <c r="G692" s="38">
        <f t="shared" si="56"/>
        <v>50</v>
      </c>
      <c r="H692" s="14" t="s">
        <v>50</v>
      </c>
      <c r="I692" s="15" t="s">
        <v>132</v>
      </c>
      <c r="J692" s="39">
        <v>-691.16</v>
      </c>
      <c r="K692" s="33">
        <f t="shared" si="54"/>
        <v>-248142.67</v>
      </c>
      <c r="L692" s="33">
        <f t="shared" si="52"/>
        <v>-357.7</v>
      </c>
    </row>
    <row r="693" spans="1:12" ht="15.75" hidden="1">
      <c r="A693" s="28">
        <f t="shared" si="55"/>
        <v>51</v>
      </c>
      <c r="B693" s="25" t="s">
        <v>51</v>
      </c>
      <c r="C693" s="26" t="s">
        <v>133</v>
      </c>
      <c r="D693" s="39"/>
      <c r="E693" s="33">
        <f t="shared" si="53"/>
        <v>-250053.31</v>
      </c>
      <c r="F693" s="8"/>
      <c r="G693" s="38">
        <f t="shared" si="56"/>
        <v>51</v>
      </c>
      <c r="H693" s="25" t="s">
        <v>51</v>
      </c>
      <c r="I693" s="26" t="s">
        <v>133</v>
      </c>
      <c r="J693" s="39">
        <v>-2492.96</v>
      </c>
      <c r="K693" s="33">
        <f t="shared" si="54"/>
        <v>-250635.63</v>
      </c>
      <c r="L693" s="33">
        <f t="shared" si="52"/>
        <v>-2492.96</v>
      </c>
    </row>
    <row r="694" spans="1:12" ht="15.75" hidden="1">
      <c r="A694" s="28">
        <f t="shared" si="55"/>
        <v>52</v>
      </c>
      <c r="B694" s="14" t="s">
        <v>52</v>
      </c>
      <c r="C694" s="15" t="s">
        <v>133</v>
      </c>
      <c r="D694" s="39"/>
      <c r="E694" s="33">
        <f t="shared" si="53"/>
        <v>-250053.31</v>
      </c>
      <c r="F694" s="8"/>
      <c r="G694" s="38">
        <f t="shared" si="56"/>
        <v>52</v>
      </c>
      <c r="H694" s="14" t="s">
        <v>52</v>
      </c>
      <c r="I694" s="15" t="s">
        <v>133</v>
      </c>
      <c r="J694" s="39"/>
      <c r="K694" s="33">
        <f t="shared" si="54"/>
        <v>-250635.63</v>
      </c>
      <c r="L694" s="33"/>
    </row>
    <row r="695" spans="1:12" ht="15.75" hidden="1">
      <c r="A695" s="28">
        <f t="shared" si="55"/>
        <v>53</v>
      </c>
      <c r="B695" s="14" t="s">
        <v>53</v>
      </c>
      <c r="C695" s="15" t="s">
        <v>133</v>
      </c>
      <c r="D695" s="39">
        <v>-610.22</v>
      </c>
      <c r="E695" s="33">
        <f t="shared" si="53"/>
        <v>-250663.53</v>
      </c>
      <c r="F695" s="8"/>
      <c r="G695" s="38">
        <f t="shared" si="56"/>
        <v>53</v>
      </c>
      <c r="H695" s="14" t="s">
        <v>53</v>
      </c>
      <c r="I695" s="15" t="s">
        <v>133</v>
      </c>
      <c r="J695" s="39">
        <v>-280.42</v>
      </c>
      <c r="K695" s="33">
        <f t="shared" si="54"/>
        <v>-250916.05</v>
      </c>
      <c r="L695" s="33">
        <f t="shared" si="52"/>
        <v>329.8</v>
      </c>
    </row>
    <row r="696" spans="1:12" ht="15.75" hidden="1">
      <c r="A696" s="28">
        <f t="shared" si="55"/>
        <v>54</v>
      </c>
      <c r="B696" s="14" t="s">
        <v>54</v>
      </c>
      <c r="C696" s="15" t="s">
        <v>133</v>
      </c>
      <c r="D696" s="39"/>
      <c r="E696" s="33">
        <f t="shared" si="53"/>
        <v>-250663.53</v>
      </c>
      <c r="F696" s="8"/>
      <c r="G696" s="38">
        <f t="shared" si="56"/>
        <v>54</v>
      </c>
      <c r="H696" s="14" t="s">
        <v>54</v>
      </c>
      <c r="I696" s="15" t="s">
        <v>133</v>
      </c>
      <c r="J696" s="39"/>
      <c r="K696" s="33">
        <f t="shared" si="54"/>
        <v>-250916.05</v>
      </c>
      <c r="L696" s="33"/>
    </row>
    <row r="697" spans="1:12" ht="15.75" hidden="1">
      <c r="A697" s="28">
        <f t="shared" si="55"/>
        <v>55</v>
      </c>
      <c r="B697" s="14" t="s">
        <v>55</v>
      </c>
      <c r="C697" s="15" t="s">
        <v>133</v>
      </c>
      <c r="D697" s="39">
        <v>-5489.63</v>
      </c>
      <c r="E697" s="33">
        <f t="shared" si="53"/>
        <v>-256153.16</v>
      </c>
      <c r="F697" s="8"/>
      <c r="G697" s="38">
        <f t="shared" si="56"/>
        <v>55</v>
      </c>
      <c r="H697" s="14" t="s">
        <v>55</v>
      </c>
      <c r="I697" s="15" t="s">
        <v>133</v>
      </c>
      <c r="J697" s="39">
        <v>-5506.03</v>
      </c>
      <c r="K697" s="33">
        <f t="shared" si="54"/>
        <v>-256422.08</v>
      </c>
      <c r="L697" s="33">
        <f t="shared" si="52"/>
        <v>-16.399999999999601</v>
      </c>
    </row>
    <row r="698" spans="1:12" ht="15.75" hidden="1">
      <c r="A698" s="28">
        <f t="shared" si="55"/>
        <v>56</v>
      </c>
      <c r="B698" s="14" t="s">
        <v>56</v>
      </c>
      <c r="C698" s="15" t="s">
        <v>133</v>
      </c>
      <c r="D698" s="39">
        <v>-3960.12</v>
      </c>
      <c r="E698" s="33">
        <f t="shared" si="53"/>
        <v>-260113.28</v>
      </c>
      <c r="F698" s="8"/>
      <c r="G698" s="38">
        <f t="shared" si="56"/>
        <v>56</v>
      </c>
      <c r="H698" s="14" t="s">
        <v>56</v>
      </c>
      <c r="I698" s="15" t="s">
        <v>133</v>
      </c>
      <c r="J698" s="39">
        <v>-4015.82</v>
      </c>
      <c r="K698" s="33">
        <f t="shared" si="54"/>
        <v>-260437.9</v>
      </c>
      <c r="L698" s="33">
        <f t="shared" si="52"/>
        <v>-55.700000000000301</v>
      </c>
    </row>
    <row r="699" spans="1:12" ht="15.75" hidden="1">
      <c r="A699" s="28">
        <f t="shared" si="55"/>
        <v>57</v>
      </c>
      <c r="B699" s="14" t="s">
        <v>57</v>
      </c>
      <c r="C699" s="15" t="s">
        <v>133</v>
      </c>
      <c r="D699" s="39"/>
      <c r="E699" s="33">
        <f t="shared" si="53"/>
        <v>-260113.28</v>
      </c>
      <c r="F699" s="8"/>
      <c r="G699" s="38">
        <f t="shared" si="56"/>
        <v>57</v>
      </c>
      <c r="H699" s="14" t="s">
        <v>57</v>
      </c>
      <c r="I699" s="15" t="s">
        <v>133</v>
      </c>
      <c r="J699" s="39"/>
      <c r="K699" s="33">
        <f t="shared" si="54"/>
        <v>-260437.9</v>
      </c>
      <c r="L699" s="33"/>
    </row>
    <row r="700" spans="1:12" ht="15.75" hidden="1">
      <c r="A700" s="28">
        <f t="shared" si="55"/>
        <v>58</v>
      </c>
      <c r="B700" s="43" t="s">
        <v>58</v>
      </c>
      <c r="C700" s="23" t="s">
        <v>133</v>
      </c>
      <c r="D700" s="39">
        <v>-10949.5</v>
      </c>
      <c r="E700" s="33">
        <f t="shared" si="53"/>
        <v>-271062.78000000003</v>
      </c>
      <c r="F700" s="8"/>
      <c r="G700" s="38">
        <f t="shared" si="56"/>
        <v>58</v>
      </c>
      <c r="H700" s="43" t="s">
        <v>58</v>
      </c>
      <c r="I700" s="23" t="s">
        <v>133</v>
      </c>
      <c r="J700" s="39">
        <v>-10773.6</v>
      </c>
      <c r="K700" s="33">
        <f t="shared" si="54"/>
        <v>-271211.5</v>
      </c>
      <c r="L700" s="33">
        <f t="shared" si="52"/>
        <v>175.9</v>
      </c>
    </row>
    <row r="701" spans="1:12" ht="15.75" hidden="1">
      <c r="A701" s="28">
        <f t="shared" si="55"/>
        <v>59</v>
      </c>
      <c r="B701" s="25" t="s">
        <v>59</v>
      </c>
      <c r="C701" s="26" t="s">
        <v>134</v>
      </c>
      <c r="D701" s="39"/>
      <c r="E701" s="33">
        <f t="shared" si="53"/>
        <v>-271062.78000000003</v>
      </c>
      <c r="F701" s="8"/>
      <c r="G701" s="38">
        <f t="shared" si="56"/>
        <v>59</v>
      </c>
      <c r="H701" s="25" t="s">
        <v>59</v>
      </c>
      <c r="I701" s="26" t="s">
        <v>134</v>
      </c>
      <c r="J701" s="39"/>
      <c r="K701" s="33">
        <f t="shared" si="54"/>
        <v>-271211.5</v>
      </c>
      <c r="L701" s="33"/>
    </row>
    <row r="702" spans="1:12" ht="15.75" hidden="1">
      <c r="A702" s="28">
        <f t="shared" si="55"/>
        <v>60</v>
      </c>
      <c r="B702" s="14" t="s">
        <v>60</v>
      </c>
      <c r="C702" s="15" t="s">
        <v>134</v>
      </c>
      <c r="D702" s="39">
        <v>-34.58</v>
      </c>
      <c r="E702" s="33">
        <f t="shared" si="53"/>
        <v>-271097.36</v>
      </c>
      <c r="F702" s="8"/>
      <c r="G702" s="38">
        <f t="shared" si="56"/>
        <v>60</v>
      </c>
      <c r="H702" s="14" t="s">
        <v>60</v>
      </c>
      <c r="I702" s="15" t="s">
        <v>134</v>
      </c>
      <c r="J702" s="39">
        <v>-9.48</v>
      </c>
      <c r="K702" s="33">
        <f t="shared" si="54"/>
        <v>-271220.98</v>
      </c>
      <c r="L702" s="33">
        <f t="shared" si="52"/>
        <v>25.1</v>
      </c>
    </row>
    <row r="703" spans="1:12" ht="15.75" hidden="1">
      <c r="A703" s="28">
        <f t="shared" si="55"/>
        <v>61</v>
      </c>
      <c r="B703" s="14" t="s">
        <v>61</v>
      </c>
      <c r="C703" s="15" t="s">
        <v>134</v>
      </c>
      <c r="D703" s="39"/>
      <c r="E703" s="33">
        <f t="shared" si="53"/>
        <v>-271097.36</v>
      </c>
      <c r="F703" s="8"/>
      <c r="G703" s="38">
        <f t="shared" si="56"/>
        <v>61</v>
      </c>
      <c r="H703" s="14" t="s">
        <v>61</v>
      </c>
      <c r="I703" s="15" t="s">
        <v>134</v>
      </c>
      <c r="J703" s="39"/>
      <c r="K703" s="33">
        <f t="shared" si="54"/>
        <v>-271220.98</v>
      </c>
      <c r="L703" s="33"/>
    </row>
    <row r="704" spans="1:12" ht="15.75" hidden="1">
      <c r="A704" s="28">
        <f t="shared" si="55"/>
        <v>62</v>
      </c>
      <c r="B704" s="14" t="s">
        <v>62</v>
      </c>
      <c r="C704" s="15" t="s">
        <v>134</v>
      </c>
      <c r="D704" s="39"/>
      <c r="E704" s="33">
        <f t="shared" si="53"/>
        <v>-271097.36</v>
      </c>
      <c r="F704" s="8"/>
      <c r="G704" s="38">
        <f t="shared" si="56"/>
        <v>62</v>
      </c>
      <c r="H704" s="14" t="s">
        <v>62</v>
      </c>
      <c r="I704" s="15" t="s">
        <v>134</v>
      </c>
      <c r="J704" s="39"/>
      <c r="K704" s="33">
        <f t="shared" si="54"/>
        <v>-271220.98</v>
      </c>
      <c r="L704" s="33"/>
    </row>
    <row r="705" spans="1:16" ht="15.75" hidden="1">
      <c r="A705" s="28">
        <f t="shared" si="55"/>
        <v>63</v>
      </c>
      <c r="B705" s="14" t="s">
        <v>63</v>
      </c>
      <c r="C705" s="15" t="s">
        <v>134</v>
      </c>
      <c r="D705" s="39"/>
      <c r="E705" s="33">
        <f t="shared" si="53"/>
        <v>-271097.36</v>
      </c>
      <c r="F705" s="8"/>
      <c r="G705" s="38">
        <f t="shared" si="56"/>
        <v>63</v>
      </c>
      <c r="H705" s="14" t="s">
        <v>63</v>
      </c>
      <c r="I705" s="15" t="s">
        <v>134</v>
      </c>
      <c r="J705" s="39"/>
      <c r="K705" s="33">
        <f t="shared" si="54"/>
        <v>-271220.98</v>
      </c>
      <c r="L705" s="33"/>
    </row>
    <row r="706" spans="1:16" ht="15.75" hidden="1">
      <c r="A706" s="28">
        <f t="shared" si="55"/>
        <v>64</v>
      </c>
      <c r="B706" s="14" t="s">
        <v>64</v>
      </c>
      <c r="C706" s="15" t="s">
        <v>134</v>
      </c>
      <c r="D706" s="39"/>
      <c r="E706" s="33">
        <f t="shared" si="53"/>
        <v>-271097.36</v>
      </c>
      <c r="F706" s="8"/>
      <c r="G706" s="38">
        <f t="shared" si="56"/>
        <v>64</v>
      </c>
      <c r="H706" s="14" t="s">
        <v>64</v>
      </c>
      <c r="I706" s="15" t="s">
        <v>134</v>
      </c>
      <c r="J706" s="39"/>
      <c r="K706" s="33">
        <f t="shared" si="54"/>
        <v>-271220.98</v>
      </c>
      <c r="L706" s="33"/>
      <c r="M706" s="8"/>
      <c r="N706" s="25" t="s">
        <v>1</v>
      </c>
      <c r="O706" s="26" t="s">
        <v>119</v>
      </c>
      <c r="P706" s="1">
        <v>-3225.37</v>
      </c>
    </row>
    <row r="707" spans="1:16" ht="15.75" hidden="1">
      <c r="A707" s="28">
        <f t="shared" si="55"/>
        <v>65</v>
      </c>
      <c r="B707" s="14" t="s">
        <v>65</v>
      </c>
      <c r="C707" s="15" t="s">
        <v>134</v>
      </c>
      <c r="D707" s="39"/>
      <c r="E707" s="33">
        <f t="shared" si="53"/>
        <v>-271097.36</v>
      </c>
      <c r="F707" s="8"/>
      <c r="G707" s="38">
        <f t="shared" si="56"/>
        <v>65</v>
      </c>
      <c r="H707" s="14" t="s">
        <v>65</v>
      </c>
      <c r="I707" s="15" t="s">
        <v>134</v>
      </c>
      <c r="J707" s="39"/>
      <c r="K707" s="33">
        <f t="shared" si="54"/>
        <v>-271220.98</v>
      </c>
      <c r="L707" s="33"/>
      <c r="M707" s="8"/>
      <c r="N707" s="14" t="s">
        <v>2</v>
      </c>
      <c r="O707" s="15" t="s">
        <v>119</v>
      </c>
      <c r="P707" s="1">
        <v>-1911.6</v>
      </c>
    </row>
    <row r="708" spans="1:16" ht="15.75" hidden="1">
      <c r="A708" s="28">
        <f t="shared" si="55"/>
        <v>66</v>
      </c>
      <c r="B708" s="43" t="s">
        <v>66</v>
      </c>
      <c r="C708" s="23" t="s">
        <v>134</v>
      </c>
      <c r="D708" s="39"/>
      <c r="E708" s="44">
        <f t="shared" si="53"/>
        <v>-271097.36</v>
      </c>
      <c r="F708" s="8"/>
      <c r="G708" s="38">
        <f t="shared" si="56"/>
        <v>66</v>
      </c>
      <c r="H708" s="43" t="s">
        <v>66</v>
      </c>
      <c r="I708" s="23" t="s">
        <v>134</v>
      </c>
      <c r="J708" s="39"/>
      <c r="K708" s="33">
        <f t="shared" si="54"/>
        <v>-271220.98</v>
      </c>
      <c r="L708" s="33"/>
      <c r="M708" s="8"/>
      <c r="N708" s="14" t="s">
        <v>3</v>
      </c>
      <c r="O708" s="15" t="s">
        <v>119</v>
      </c>
      <c r="P708" s="1">
        <v>-515.54999999999995</v>
      </c>
    </row>
    <row r="709" spans="1:16" ht="15.75" hidden="1">
      <c r="A709" s="28">
        <f t="shared" si="55"/>
        <v>67</v>
      </c>
      <c r="B709" s="25" t="s">
        <v>67</v>
      </c>
      <c r="C709" s="26" t="s">
        <v>135</v>
      </c>
      <c r="D709" s="39">
        <v>-1569.81</v>
      </c>
      <c r="E709" s="30">
        <f t="shared" ref="E709:E740" si="57">E708+D709</f>
        <v>-272667.17</v>
      </c>
      <c r="F709" s="8"/>
      <c r="G709" s="38">
        <f t="shared" si="56"/>
        <v>67</v>
      </c>
      <c r="H709" s="25" t="s">
        <v>67</v>
      </c>
      <c r="I709" s="26" t="s">
        <v>135</v>
      </c>
      <c r="J709" s="39">
        <v>-1509.11</v>
      </c>
      <c r="K709" s="33">
        <f t="shared" ref="K709:K740" si="58">K708+J709</f>
        <v>-272730.09000000003</v>
      </c>
      <c r="L709" s="33">
        <f t="shared" ref="L709:L741" si="59">J709-D709</f>
        <v>60.7</v>
      </c>
      <c r="M709" s="8"/>
      <c r="N709" s="14" t="s">
        <v>4</v>
      </c>
      <c r="O709" s="15" t="s">
        <v>119</v>
      </c>
      <c r="P709" s="1">
        <v>-11255.06</v>
      </c>
    </row>
    <row r="710" spans="1:16" ht="15.75" hidden="1">
      <c r="A710" s="28">
        <f t="shared" si="55"/>
        <v>68</v>
      </c>
      <c r="B710" s="14" t="s">
        <v>68</v>
      </c>
      <c r="C710" s="15" t="s">
        <v>135</v>
      </c>
      <c r="D710" s="39">
        <v>-2761.46</v>
      </c>
      <c r="E710" s="33">
        <f t="shared" si="57"/>
        <v>-275428.63</v>
      </c>
      <c r="F710" s="8"/>
      <c r="G710" s="38">
        <f t="shared" si="56"/>
        <v>68</v>
      </c>
      <c r="H710" s="14" t="s">
        <v>68</v>
      </c>
      <c r="I710" s="15" t="s">
        <v>135</v>
      </c>
      <c r="J710" s="39">
        <v>-2758.16</v>
      </c>
      <c r="K710" s="33">
        <f t="shared" si="58"/>
        <v>-275488.25</v>
      </c>
      <c r="L710" s="33">
        <f t="shared" si="59"/>
        <v>3.3000000000001801</v>
      </c>
      <c r="M710" s="8"/>
      <c r="N710" s="14" t="s">
        <v>5</v>
      </c>
      <c r="O710" s="15" t="s">
        <v>119</v>
      </c>
      <c r="P710" s="1"/>
    </row>
    <row r="711" spans="1:16" ht="15.75" hidden="1">
      <c r="A711" s="28">
        <f t="shared" si="55"/>
        <v>69</v>
      </c>
      <c r="B711" s="43" t="s">
        <v>69</v>
      </c>
      <c r="C711" s="23" t="s">
        <v>135</v>
      </c>
      <c r="D711" s="39">
        <v>-2285.2600000000002</v>
      </c>
      <c r="E711" s="44">
        <f t="shared" si="57"/>
        <v>-277713.89</v>
      </c>
      <c r="F711" s="8"/>
      <c r="G711" s="38">
        <f t="shared" si="56"/>
        <v>69</v>
      </c>
      <c r="H711" s="43" t="s">
        <v>69</v>
      </c>
      <c r="I711" s="23" t="s">
        <v>135</v>
      </c>
      <c r="J711" s="39">
        <v>-3219.36</v>
      </c>
      <c r="K711" s="33">
        <f t="shared" si="58"/>
        <v>-278707.61</v>
      </c>
      <c r="L711" s="33">
        <f t="shared" si="59"/>
        <v>-934.1</v>
      </c>
      <c r="M711" s="8"/>
      <c r="N711" s="14" t="s">
        <v>6</v>
      </c>
      <c r="O711" s="15" t="s">
        <v>119</v>
      </c>
      <c r="P711" s="1">
        <v>-2383.2600000000002</v>
      </c>
    </row>
    <row r="712" spans="1:16" ht="15.75" hidden="1">
      <c r="A712" s="28">
        <f t="shared" si="55"/>
        <v>70</v>
      </c>
      <c r="B712" s="25" t="s">
        <v>136</v>
      </c>
      <c r="C712" s="26" t="s">
        <v>137</v>
      </c>
      <c r="D712" s="39">
        <v>-3018.88</v>
      </c>
      <c r="E712" s="30">
        <f t="shared" si="57"/>
        <v>-280732.77</v>
      </c>
      <c r="F712" s="8"/>
      <c r="G712" s="38">
        <f t="shared" si="56"/>
        <v>70</v>
      </c>
      <c r="H712" s="25" t="s">
        <v>136</v>
      </c>
      <c r="I712" s="26" t="s">
        <v>137</v>
      </c>
      <c r="J712" s="39">
        <v>-2926.58</v>
      </c>
      <c r="K712" s="33">
        <f t="shared" si="58"/>
        <v>-281634.19</v>
      </c>
      <c r="L712" s="33">
        <f t="shared" si="59"/>
        <v>92.300000000000196</v>
      </c>
      <c r="M712" s="8"/>
      <c r="N712" s="14" t="s">
        <v>7</v>
      </c>
      <c r="O712" s="15" t="s">
        <v>119</v>
      </c>
      <c r="P712" s="1">
        <v>-203.7</v>
      </c>
    </row>
    <row r="713" spans="1:16" ht="15.75" hidden="1">
      <c r="A713" s="28">
        <f t="shared" si="55"/>
        <v>71</v>
      </c>
      <c r="B713" s="14" t="s">
        <v>71</v>
      </c>
      <c r="C713" s="15" t="s">
        <v>137</v>
      </c>
      <c r="D713" s="39"/>
      <c r="E713" s="33">
        <f t="shared" si="57"/>
        <v>-280732.77</v>
      </c>
      <c r="F713" s="8"/>
      <c r="G713" s="38">
        <f t="shared" si="56"/>
        <v>71</v>
      </c>
      <c r="H713" s="14" t="s">
        <v>71</v>
      </c>
      <c r="I713" s="15" t="s">
        <v>137</v>
      </c>
      <c r="J713" s="39"/>
      <c r="K713" s="33">
        <f t="shared" si="58"/>
        <v>-281634.19</v>
      </c>
      <c r="L713" s="33"/>
      <c r="M713" s="8"/>
      <c r="N713" s="14" t="s">
        <v>8</v>
      </c>
      <c r="O713" s="15" t="s">
        <v>119</v>
      </c>
      <c r="P713" s="1">
        <v>1130.5999999999999</v>
      </c>
    </row>
    <row r="714" spans="1:16" ht="15.75" hidden="1">
      <c r="A714" s="28">
        <f t="shared" si="55"/>
        <v>72</v>
      </c>
      <c r="B714" s="14" t="s">
        <v>72</v>
      </c>
      <c r="C714" s="15" t="s">
        <v>137</v>
      </c>
      <c r="D714" s="39"/>
      <c r="E714" s="33">
        <f t="shared" si="57"/>
        <v>-280732.77</v>
      </c>
      <c r="F714" s="8"/>
      <c r="G714" s="38">
        <f t="shared" si="56"/>
        <v>72</v>
      </c>
      <c r="H714" s="14" t="s">
        <v>72</v>
      </c>
      <c r="I714" s="15" t="s">
        <v>137</v>
      </c>
      <c r="J714" s="39"/>
      <c r="K714" s="33">
        <f t="shared" si="58"/>
        <v>-281634.19</v>
      </c>
      <c r="L714" s="33"/>
      <c r="M714" s="8"/>
      <c r="N714" s="14" t="s">
        <v>9</v>
      </c>
      <c r="O714" s="15" t="s">
        <v>119</v>
      </c>
      <c r="P714" s="1">
        <v>-3217.8</v>
      </c>
    </row>
    <row r="715" spans="1:16" ht="15.75" hidden="1">
      <c r="A715" s="28">
        <f t="shared" si="55"/>
        <v>73</v>
      </c>
      <c r="B715" s="14" t="s">
        <v>138</v>
      </c>
      <c r="C715" s="15" t="s">
        <v>137</v>
      </c>
      <c r="D715" s="39"/>
      <c r="E715" s="33">
        <f t="shared" si="57"/>
        <v>-280732.77</v>
      </c>
      <c r="F715" s="8"/>
      <c r="G715" s="38">
        <f t="shared" si="56"/>
        <v>73</v>
      </c>
      <c r="H715" s="14" t="s">
        <v>138</v>
      </c>
      <c r="I715" s="15" t="s">
        <v>137</v>
      </c>
      <c r="J715" s="39"/>
      <c r="K715" s="33">
        <f t="shared" si="58"/>
        <v>-281634.19</v>
      </c>
      <c r="L715" s="33"/>
      <c r="M715" s="8"/>
      <c r="N715" s="14" t="s">
        <v>10</v>
      </c>
      <c r="O715" s="15" t="s">
        <v>119</v>
      </c>
      <c r="P715" s="1">
        <v>811.1</v>
      </c>
    </row>
    <row r="716" spans="1:16" ht="15.75" hidden="1">
      <c r="A716" s="28">
        <f t="shared" si="55"/>
        <v>74</v>
      </c>
      <c r="B716" s="14" t="s">
        <v>74</v>
      </c>
      <c r="C716" s="15" t="s">
        <v>137</v>
      </c>
      <c r="D716" s="39">
        <v>-3095.6</v>
      </c>
      <c r="E716" s="33">
        <f t="shared" si="57"/>
        <v>-283828.37</v>
      </c>
      <c r="F716" s="8"/>
      <c r="G716" s="38">
        <f t="shared" si="56"/>
        <v>74</v>
      </c>
      <c r="H716" s="14" t="s">
        <v>74</v>
      </c>
      <c r="I716" s="15" t="s">
        <v>137</v>
      </c>
      <c r="J716" s="39">
        <v>-3422.6</v>
      </c>
      <c r="K716" s="33">
        <f t="shared" si="58"/>
        <v>-285056.78999999998</v>
      </c>
      <c r="L716" s="33">
        <f t="shared" si="59"/>
        <v>-327</v>
      </c>
      <c r="M716" s="8"/>
      <c r="N716" s="43" t="s">
        <v>11</v>
      </c>
      <c r="O716" s="23" t="s">
        <v>119</v>
      </c>
      <c r="P716" s="1">
        <v>835.88</v>
      </c>
    </row>
    <row r="717" spans="1:16" ht="15.75" hidden="1">
      <c r="A717" s="28">
        <f t="shared" si="55"/>
        <v>75</v>
      </c>
      <c r="B717" s="14" t="s">
        <v>75</v>
      </c>
      <c r="C717" s="15" t="s">
        <v>137</v>
      </c>
      <c r="D717" s="39">
        <v>-15624.89</v>
      </c>
      <c r="E717" s="33">
        <f t="shared" si="57"/>
        <v>-299453.26</v>
      </c>
      <c r="F717" s="8"/>
      <c r="G717" s="38">
        <f t="shared" si="56"/>
        <v>75</v>
      </c>
      <c r="H717" s="14" t="s">
        <v>75</v>
      </c>
      <c r="I717" s="15" t="s">
        <v>137</v>
      </c>
      <c r="J717" s="39">
        <v>-15537.69</v>
      </c>
      <c r="K717" s="33">
        <f t="shared" si="58"/>
        <v>-300594.48</v>
      </c>
      <c r="L717" s="33">
        <f t="shared" si="59"/>
        <v>87.199999999998894</v>
      </c>
      <c r="M717" s="8"/>
      <c r="N717" s="25" t="s">
        <v>12</v>
      </c>
      <c r="O717" s="26" t="s">
        <v>123</v>
      </c>
      <c r="P717" s="1">
        <v>-25168.6</v>
      </c>
    </row>
    <row r="718" spans="1:16" ht="15.75" hidden="1">
      <c r="A718" s="28">
        <f t="shared" si="55"/>
        <v>76</v>
      </c>
      <c r="B718" s="43" t="s">
        <v>76</v>
      </c>
      <c r="C718" s="23" t="s">
        <v>137</v>
      </c>
      <c r="D718" s="39">
        <v>-49070.14</v>
      </c>
      <c r="E718" s="44">
        <f t="shared" si="57"/>
        <v>-348523.4</v>
      </c>
      <c r="F718" s="8"/>
      <c r="G718" s="38">
        <f t="shared" si="56"/>
        <v>76</v>
      </c>
      <c r="H718" s="43" t="s">
        <v>76</v>
      </c>
      <c r="I718" s="23" t="s">
        <v>137</v>
      </c>
      <c r="J718" s="39">
        <v>-49119.14</v>
      </c>
      <c r="K718" s="33">
        <f t="shared" si="58"/>
        <v>-349713.62</v>
      </c>
      <c r="L718" s="33">
        <f t="shared" si="59"/>
        <v>-49</v>
      </c>
      <c r="M718" s="8"/>
      <c r="N718" s="14" t="s">
        <v>13</v>
      </c>
      <c r="O718" s="15" t="s">
        <v>123</v>
      </c>
      <c r="P718" s="1">
        <v>-5253.4</v>
      </c>
    </row>
    <row r="719" spans="1:16" ht="15.75" hidden="1">
      <c r="A719" s="28">
        <f t="shared" si="55"/>
        <v>77</v>
      </c>
      <c r="B719" s="25" t="s">
        <v>77</v>
      </c>
      <c r="C719" s="26" t="s">
        <v>139</v>
      </c>
      <c r="D719" s="39"/>
      <c r="E719" s="30">
        <f t="shared" si="57"/>
        <v>-348523.4</v>
      </c>
      <c r="F719" s="8"/>
      <c r="G719" s="38">
        <f t="shared" si="56"/>
        <v>77</v>
      </c>
      <c r="H719" s="25" t="s">
        <v>77</v>
      </c>
      <c r="I719" s="26" t="s">
        <v>139</v>
      </c>
      <c r="J719" s="39"/>
      <c r="K719" s="33">
        <f t="shared" si="58"/>
        <v>-349713.62</v>
      </c>
      <c r="L719" s="33"/>
      <c r="M719" s="8"/>
      <c r="N719" s="14" t="s">
        <v>14</v>
      </c>
      <c r="O719" s="15" t="s">
        <v>123</v>
      </c>
      <c r="P719" s="1">
        <v>-1950.1</v>
      </c>
    </row>
    <row r="720" spans="1:16" ht="15.75" hidden="1">
      <c r="A720" s="28">
        <f t="shared" si="55"/>
        <v>78</v>
      </c>
      <c r="B720" s="14" t="s">
        <v>78</v>
      </c>
      <c r="C720" s="15" t="s">
        <v>139</v>
      </c>
      <c r="D720" s="39"/>
      <c r="E720" s="33">
        <f t="shared" si="57"/>
        <v>-348523.4</v>
      </c>
      <c r="F720" s="8"/>
      <c r="G720" s="38">
        <f t="shared" si="56"/>
        <v>78</v>
      </c>
      <c r="H720" s="14" t="s">
        <v>78</v>
      </c>
      <c r="I720" s="15" t="s">
        <v>139</v>
      </c>
      <c r="J720" s="39"/>
      <c r="K720" s="33">
        <f t="shared" si="58"/>
        <v>-349713.62</v>
      </c>
      <c r="L720" s="33"/>
      <c r="M720" s="8"/>
      <c r="N720" s="14" t="s">
        <v>15</v>
      </c>
      <c r="O720" s="15" t="s">
        <v>123</v>
      </c>
      <c r="P720" s="1">
        <v>-39925.199999999997</v>
      </c>
    </row>
    <row r="721" spans="1:16" ht="15.75" hidden="1">
      <c r="A721" s="28">
        <f t="shared" si="55"/>
        <v>79</v>
      </c>
      <c r="B721" s="14" t="s">
        <v>79</v>
      </c>
      <c r="C721" s="15" t="s">
        <v>139</v>
      </c>
      <c r="D721" s="39">
        <v>-1844.46</v>
      </c>
      <c r="E721" s="33">
        <f t="shared" si="57"/>
        <v>-350367.86</v>
      </c>
      <c r="F721" s="8"/>
      <c r="G721" s="38">
        <f t="shared" si="56"/>
        <v>79</v>
      </c>
      <c r="H721" s="14" t="s">
        <v>79</v>
      </c>
      <c r="I721" s="15" t="s">
        <v>139</v>
      </c>
      <c r="J721" s="39">
        <v>-1980.46</v>
      </c>
      <c r="K721" s="33">
        <f t="shared" si="58"/>
        <v>-351694.08000000002</v>
      </c>
      <c r="L721" s="33">
        <f t="shared" si="59"/>
        <v>-136</v>
      </c>
      <c r="M721" s="8"/>
      <c r="N721" s="14" t="s">
        <v>16</v>
      </c>
      <c r="O721" s="15" t="s">
        <v>123</v>
      </c>
      <c r="P721" s="1">
        <v>-5519.81</v>
      </c>
    </row>
    <row r="722" spans="1:16" ht="15.75" hidden="1">
      <c r="A722" s="28">
        <f t="shared" si="55"/>
        <v>80</v>
      </c>
      <c r="B722" s="14" t="s">
        <v>80</v>
      </c>
      <c r="C722" s="15" t="s">
        <v>139</v>
      </c>
      <c r="D722" s="39"/>
      <c r="E722" s="33">
        <f t="shared" si="57"/>
        <v>-350367.86</v>
      </c>
      <c r="F722" s="8"/>
      <c r="G722" s="38">
        <f t="shared" si="56"/>
        <v>80</v>
      </c>
      <c r="H722" s="14" t="s">
        <v>80</v>
      </c>
      <c r="I722" s="15" t="s">
        <v>139</v>
      </c>
      <c r="J722" s="39"/>
      <c r="K722" s="33">
        <f t="shared" si="58"/>
        <v>-351694.08000000002</v>
      </c>
      <c r="L722" s="33"/>
      <c r="M722" s="8"/>
      <c r="N722" s="14" t="s">
        <v>17</v>
      </c>
      <c r="O722" s="15" t="s">
        <v>123</v>
      </c>
      <c r="P722" s="1"/>
    </row>
    <row r="723" spans="1:16" ht="15.75" hidden="1">
      <c r="A723" s="28">
        <f t="shared" si="55"/>
        <v>81</v>
      </c>
      <c r="B723" s="14" t="s">
        <v>81</v>
      </c>
      <c r="C723" s="15" t="s">
        <v>139</v>
      </c>
      <c r="D723" s="39">
        <v>-596.5</v>
      </c>
      <c r="E723" s="33">
        <f t="shared" si="57"/>
        <v>-350964.36</v>
      </c>
      <c r="F723" s="8"/>
      <c r="G723" s="38">
        <f t="shared" si="56"/>
        <v>81</v>
      </c>
      <c r="H723" s="14" t="s">
        <v>81</v>
      </c>
      <c r="I723" s="15" t="s">
        <v>139</v>
      </c>
      <c r="J723" s="39">
        <v>-738.3</v>
      </c>
      <c r="K723" s="33">
        <f t="shared" si="58"/>
        <v>-352432.38</v>
      </c>
      <c r="L723" s="33">
        <f t="shared" si="59"/>
        <v>-141.80000000000001</v>
      </c>
      <c r="M723" s="8"/>
      <c r="N723" s="45" t="s">
        <v>124</v>
      </c>
      <c r="O723" s="46" t="s">
        <v>123</v>
      </c>
      <c r="P723" s="1">
        <v>-29967.599999999999</v>
      </c>
    </row>
    <row r="724" spans="1:16" ht="15.75" hidden="1">
      <c r="A724" s="28">
        <f t="shared" si="55"/>
        <v>82</v>
      </c>
      <c r="B724" s="14" t="s">
        <v>82</v>
      </c>
      <c r="C724" s="15" t="s">
        <v>139</v>
      </c>
      <c r="D724" s="39"/>
      <c r="E724" s="33">
        <f t="shared" si="57"/>
        <v>-350964.36</v>
      </c>
      <c r="F724" s="8"/>
      <c r="G724" s="38">
        <f t="shared" si="56"/>
        <v>82</v>
      </c>
      <c r="H724" s="14" t="s">
        <v>82</v>
      </c>
      <c r="I724" s="15" t="s">
        <v>139</v>
      </c>
      <c r="J724" s="39">
        <v>-33.5</v>
      </c>
      <c r="K724" s="33">
        <f t="shared" si="58"/>
        <v>-352465.88</v>
      </c>
      <c r="L724" s="33">
        <f t="shared" si="59"/>
        <v>-33.5</v>
      </c>
      <c r="M724" s="8"/>
      <c r="N724" s="14" t="s">
        <v>19</v>
      </c>
      <c r="O724" s="15" t="s">
        <v>123</v>
      </c>
      <c r="P724" s="1">
        <v>-28588.49</v>
      </c>
    </row>
    <row r="725" spans="1:16" ht="15.75" hidden="1">
      <c r="A725" s="28">
        <f t="shared" si="55"/>
        <v>83</v>
      </c>
      <c r="B725" s="14" t="s">
        <v>83</v>
      </c>
      <c r="C725" s="15" t="s">
        <v>139</v>
      </c>
      <c r="D725" s="39">
        <v>-2360.33</v>
      </c>
      <c r="E725" s="33">
        <f t="shared" si="57"/>
        <v>-353324.69</v>
      </c>
      <c r="F725" s="8"/>
      <c r="G725" s="38">
        <f t="shared" si="56"/>
        <v>83</v>
      </c>
      <c r="H725" s="14" t="s">
        <v>83</v>
      </c>
      <c r="I725" s="15" t="s">
        <v>139</v>
      </c>
      <c r="J725" s="39">
        <v>-2959.23</v>
      </c>
      <c r="K725" s="33">
        <f t="shared" si="58"/>
        <v>-355425.11</v>
      </c>
      <c r="L725" s="33">
        <f t="shared" si="59"/>
        <v>-598.9</v>
      </c>
      <c r="M725" s="8"/>
      <c r="N725" s="14" t="s">
        <v>20</v>
      </c>
      <c r="O725" s="15" t="s">
        <v>123</v>
      </c>
      <c r="P725" s="1">
        <v>-7237.54</v>
      </c>
    </row>
    <row r="726" spans="1:16" ht="15.75" hidden="1">
      <c r="A726" s="28">
        <f t="shared" si="55"/>
        <v>84</v>
      </c>
      <c r="B726" s="14" t="s">
        <v>84</v>
      </c>
      <c r="C726" s="15" t="s">
        <v>139</v>
      </c>
      <c r="D726" s="39"/>
      <c r="E726" s="33">
        <f t="shared" si="57"/>
        <v>-353324.69</v>
      </c>
      <c r="F726" s="8"/>
      <c r="G726" s="38">
        <f t="shared" si="56"/>
        <v>84</v>
      </c>
      <c r="H726" s="14" t="s">
        <v>84</v>
      </c>
      <c r="I726" s="15" t="s">
        <v>139</v>
      </c>
      <c r="J726" s="39"/>
      <c r="K726" s="33">
        <f t="shared" si="58"/>
        <v>-355425.11</v>
      </c>
      <c r="L726" s="33"/>
      <c r="M726" s="8"/>
      <c r="N726" s="43" t="s">
        <v>21</v>
      </c>
      <c r="O726" s="23" t="s">
        <v>123</v>
      </c>
      <c r="P726" s="1">
        <v>-8109</v>
      </c>
    </row>
    <row r="727" spans="1:16" ht="15.75" hidden="1">
      <c r="A727" s="28">
        <f t="shared" si="55"/>
        <v>85</v>
      </c>
      <c r="B727" s="14" t="s">
        <v>85</v>
      </c>
      <c r="C727" s="15" t="s">
        <v>139</v>
      </c>
      <c r="D727" s="39">
        <v>-3458.4</v>
      </c>
      <c r="E727" s="33">
        <f t="shared" si="57"/>
        <v>-356783.09</v>
      </c>
      <c r="F727" s="8"/>
      <c r="G727" s="38">
        <f t="shared" si="56"/>
        <v>85</v>
      </c>
      <c r="H727" s="14" t="s">
        <v>85</v>
      </c>
      <c r="I727" s="15" t="s">
        <v>139</v>
      </c>
      <c r="J727" s="39">
        <v>-3033.9</v>
      </c>
      <c r="K727" s="33">
        <f t="shared" si="58"/>
        <v>-358459.01</v>
      </c>
      <c r="L727" s="33">
        <f t="shared" si="59"/>
        <v>424.5</v>
      </c>
      <c r="M727" s="8"/>
      <c r="N727" s="25" t="s">
        <v>22</v>
      </c>
      <c r="O727" s="26" t="s">
        <v>126</v>
      </c>
      <c r="P727" s="1">
        <v>3260.67</v>
      </c>
    </row>
    <row r="728" spans="1:16" ht="15.75" hidden="1">
      <c r="A728" s="28">
        <f t="shared" si="55"/>
        <v>86</v>
      </c>
      <c r="B728" s="14" t="s">
        <v>86</v>
      </c>
      <c r="C728" s="15" t="s">
        <v>139</v>
      </c>
      <c r="D728" s="39">
        <v>-287</v>
      </c>
      <c r="E728" s="33">
        <f t="shared" si="57"/>
        <v>-357070.09</v>
      </c>
      <c r="F728" s="8"/>
      <c r="G728" s="38">
        <f t="shared" si="56"/>
        <v>86</v>
      </c>
      <c r="H728" s="14" t="s">
        <v>86</v>
      </c>
      <c r="I728" s="15" t="s">
        <v>139</v>
      </c>
      <c r="J728" s="39"/>
      <c r="K728" s="33">
        <f t="shared" si="58"/>
        <v>-358459.01</v>
      </c>
      <c r="L728" s="33">
        <f t="shared" si="59"/>
        <v>287</v>
      </c>
      <c r="M728" s="8"/>
      <c r="N728" s="14" t="s">
        <v>23</v>
      </c>
      <c r="O728" s="15" t="s">
        <v>126</v>
      </c>
      <c r="P728" s="1">
        <v>-3299.35</v>
      </c>
    </row>
    <row r="729" spans="1:16" ht="15.75" hidden="1">
      <c r="A729" s="28">
        <f t="shared" si="55"/>
        <v>87</v>
      </c>
      <c r="B729" s="43" t="s">
        <v>87</v>
      </c>
      <c r="C729" s="23" t="s">
        <v>139</v>
      </c>
      <c r="D729" s="39">
        <v>-2511.84</v>
      </c>
      <c r="E729" s="44">
        <f t="shared" si="57"/>
        <v>-359581.93</v>
      </c>
      <c r="F729" s="8"/>
      <c r="G729" s="38">
        <f t="shared" si="56"/>
        <v>87</v>
      </c>
      <c r="H729" s="43" t="s">
        <v>87</v>
      </c>
      <c r="I729" s="23" t="s">
        <v>139</v>
      </c>
      <c r="J729" s="39">
        <v>-2467.44</v>
      </c>
      <c r="K729" s="33">
        <f t="shared" si="58"/>
        <v>-360926.45</v>
      </c>
      <c r="L729" s="33">
        <f t="shared" si="59"/>
        <v>44.400000000000098</v>
      </c>
      <c r="M729" s="8"/>
      <c r="N729" s="14" t="s">
        <v>24</v>
      </c>
      <c r="O729" s="15" t="s">
        <v>126</v>
      </c>
      <c r="P729" s="1">
        <v>-885.75</v>
      </c>
    </row>
    <row r="730" spans="1:16" ht="15.75" hidden="1">
      <c r="A730" s="28">
        <f t="shared" si="55"/>
        <v>88</v>
      </c>
      <c r="B730" s="25" t="s">
        <v>88</v>
      </c>
      <c r="C730" s="26" t="s">
        <v>141</v>
      </c>
      <c r="D730" s="39">
        <v>-9186.2000000000007</v>
      </c>
      <c r="E730" s="30">
        <f t="shared" si="57"/>
        <v>-368768.13</v>
      </c>
      <c r="F730" s="8"/>
      <c r="G730" s="38">
        <f t="shared" si="56"/>
        <v>88</v>
      </c>
      <c r="H730" s="25" t="s">
        <v>88</v>
      </c>
      <c r="I730" s="26" t="s">
        <v>141</v>
      </c>
      <c r="J730" s="39">
        <v>-7568.7</v>
      </c>
      <c r="K730" s="33">
        <f t="shared" si="58"/>
        <v>-368495.15</v>
      </c>
      <c r="L730" s="33">
        <f t="shared" si="59"/>
        <v>1617.5</v>
      </c>
      <c r="M730" s="8"/>
      <c r="N730" s="14" t="s">
        <v>128</v>
      </c>
      <c r="O730" s="15" t="s">
        <v>126</v>
      </c>
      <c r="P730" s="1"/>
    </row>
    <row r="731" spans="1:16" ht="15.75" hidden="1">
      <c r="A731" s="28">
        <f t="shared" si="55"/>
        <v>89</v>
      </c>
      <c r="B731" s="14" t="s">
        <v>89</v>
      </c>
      <c r="C731" s="15" t="s">
        <v>141</v>
      </c>
      <c r="D731" s="39">
        <v>-665</v>
      </c>
      <c r="E731" s="33">
        <f t="shared" si="57"/>
        <v>-369433.13</v>
      </c>
      <c r="F731" s="8"/>
      <c r="G731" s="38">
        <f t="shared" si="56"/>
        <v>89</v>
      </c>
      <c r="H731" s="14" t="s">
        <v>89</v>
      </c>
      <c r="I731" s="15" t="s">
        <v>141</v>
      </c>
      <c r="J731" s="39">
        <v>-711</v>
      </c>
      <c r="K731" s="33">
        <f t="shared" si="58"/>
        <v>-369206.15</v>
      </c>
      <c r="L731" s="33">
        <f t="shared" si="59"/>
        <v>-46</v>
      </c>
      <c r="M731" s="8"/>
      <c r="N731" s="47" t="s">
        <v>127</v>
      </c>
      <c r="O731" s="15" t="s">
        <v>126</v>
      </c>
      <c r="P731" s="1">
        <v>746.74</v>
      </c>
    </row>
    <row r="732" spans="1:16" ht="15.75" hidden="1">
      <c r="A732" s="28">
        <f t="shared" si="55"/>
        <v>90</v>
      </c>
      <c r="B732" s="14" t="s">
        <v>90</v>
      </c>
      <c r="C732" s="15" t="s">
        <v>141</v>
      </c>
      <c r="D732" s="39"/>
      <c r="E732" s="33">
        <f t="shared" si="57"/>
        <v>-369433.13</v>
      </c>
      <c r="F732" s="8"/>
      <c r="G732" s="38">
        <f t="shared" si="56"/>
        <v>90</v>
      </c>
      <c r="H732" s="14" t="s">
        <v>90</v>
      </c>
      <c r="I732" s="15" t="s">
        <v>141</v>
      </c>
      <c r="J732" s="39"/>
      <c r="K732" s="33">
        <f t="shared" si="58"/>
        <v>-369206.15</v>
      </c>
      <c r="L732" s="33"/>
      <c r="M732" s="8"/>
      <c r="N732" s="14" t="s">
        <v>27</v>
      </c>
      <c r="O732" s="15" t="s">
        <v>126</v>
      </c>
      <c r="P732" s="1">
        <v>-1253.6500000000001</v>
      </c>
    </row>
    <row r="733" spans="1:16" ht="15.75" hidden="1">
      <c r="A733" s="28">
        <f t="shared" si="55"/>
        <v>91</v>
      </c>
      <c r="B733" s="14" t="s">
        <v>91</v>
      </c>
      <c r="C733" s="15" t="s">
        <v>141</v>
      </c>
      <c r="D733" s="39"/>
      <c r="E733" s="33">
        <f t="shared" si="57"/>
        <v>-369433.13</v>
      </c>
      <c r="F733" s="8"/>
      <c r="G733" s="38">
        <f t="shared" si="56"/>
        <v>91</v>
      </c>
      <c r="H733" s="14" t="s">
        <v>91</v>
      </c>
      <c r="I733" s="15" t="s">
        <v>141</v>
      </c>
      <c r="J733" s="39"/>
      <c r="K733" s="33">
        <f t="shared" si="58"/>
        <v>-369206.15</v>
      </c>
      <c r="L733" s="33"/>
      <c r="M733" s="8"/>
      <c r="N733" s="14" t="s">
        <v>28</v>
      </c>
      <c r="O733" s="15" t="s">
        <v>126</v>
      </c>
      <c r="P733" s="1">
        <v>-562.44000000000005</v>
      </c>
    </row>
    <row r="734" spans="1:16" ht="15.75" hidden="1">
      <c r="A734" s="28">
        <f t="shared" si="55"/>
        <v>92</v>
      </c>
      <c r="B734" s="14" t="s">
        <v>92</v>
      </c>
      <c r="C734" s="15" t="s">
        <v>141</v>
      </c>
      <c r="D734" s="39">
        <v>-1962.55</v>
      </c>
      <c r="E734" s="33">
        <f t="shared" si="57"/>
        <v>-371395.68</v>
      </c>
      <c r="F734" s="8"/>
      <c r="G734" s="38">
        <f t="shared" si="56"/>
        <v>92</v>
      </c>
      <c r="H734" s="14" t="s">
        <v>92</v>
      </c>
      <c r="I734" s="15" t="s">
        <v>141</v>
      </c>
      <c r="J734" s="39">
        <v>-2437.75</v>
      </c>
      <c r="K734" s="33">
        <f t="shared" si="58"/>
        <v>-371643.9</v>
      </c>
      <c r="L734" s="33">
        <f t="shared" si="59"/>
        <v>-475.2</v>
      </c>
      <c r="M734" s="8"/>
      <c r="N734" s="25" t="s">
        <v>29</v>
      </c>
      <c r="O734" s="26" t="s">
        <v>129</v>
      </c>
      <c r="P734" s="1"/>
    </row>
    <row r="735" spans="1:16" ht="15.75" hidden="1">
      <c r="A735" s="28">
        <f t="shared" si="55"/>
        <v>93</v>
      </c>
      <c r="B735" s="14" t="s">
        <v>93</v>
      </c>
      <c r="C735" s="15" t="s">
        <v>141</v>
      </c>
      <c r="D735" s="39">
        <v>-5986.1</v>
      </c>
      <c r="E735" s="33">
        <f t="shared" si="57"/>
        <v>-377381.78</v>
      </c>
      <c r="F735" s="8"/>
      <c r="G735" s="38">
        <f t="shared" si="56"/>
        <v>93</v>
      </c>
      <c r="H735" s="14" t="s">
        <v>93</v>
      </c>
      <c r="I735" s="15" t="s">
        <v>141</v>
      </c>
      <c r="J735" s="39">
        <v>-5961.5</v>
      </c>
      <c r="K735" s="33">
        <f t="shared" si="58"/>
        <v>-377605.4</v>
      </c>
      <c r="L735" s="33">
        <f t="shared" si="59"/>
        <v>24.600000000000399</v>
      </c>
      <c r="M735" s="8"/>
      <c r="N735" s="14" t="s">
        <v>30</v>
      </c>
      <c r="O735" s="15" t="s">
        <v>129</v>
      </c>
      <c r="P735" s="1"/>
    </row>
    <row r="736" spans="1:16" ht="15.75" hidden="1">
      <c r="A736" s="28">
        <f>A735+1</f>
        <v>94</v>
      </c>
      <c r="B736" s="51" t="s">
        <v>94</v>
      </c>
      <c r="C736" s="52" t="s">
        <v>141</v>
      </c>
      <c r="D736" s="39">
        <v>-8161.93</v>
      </c>
      <c r="E736" s="44">
        <f t="shared" si="57"/>
        <v>-385543.71</v>
      </c>
      <c r="F736" s="8"/>
      <c r="G736" s="38">
        <f>G735+1</f>
        <v>94</v>
      </c>
      <c r="H736" s="51" t="s">
        <v>94</v>
      </c>
      <c r="I736" s="52" t="s">
        <v>141</v>
      </c>
      <c r="J736" s="39">
        <v>-8066.83</v>
      </c>
      <c r="K736" s="33">
        <f t="shared" si="58"/>
        <v>-385672.23</v>
      </c>
      <c r="L736" s="33">
        <f t="shared" si="59"/>
        <v>95.100000000000406</v>
      </c>
      <c r="M736" s="8"/>
      <c r="N736" s="14" t="s">
        <v>31</v>
      </c>
      <c r="O736" s="15" t="s">
        <v>129</v>
      </c>
      <c r="P736" s="1">
        <v>-1692.4</v>
      </c>
    </row>
    <row r="737" spans="1:16" ht="15.75" hidden="1">
      <c r="A737" s="28">
        <f>A736+1</f>
        <v>95</v>
      </c>
      <c r="B737" s="50" t="s">
        <v>95</v>
      </c>
      <c r="C737" s="49" t="s">
        <v>106</v>
      </c>
      <c r="D737" s="39"/>
      <c r="E737" s="33">
        <f t="shared" si="57"/>
        <v>-385543.71</v>
      </c>
      <c r="F737" s="8"/>
      <c r="G737" s="38">
        <f>G736+1</f>
        <v>95</v>
      </c>
      <c r="H737" s="50" t="s">
        <v>95</v>
      </c>
      <c r="I737" s="49" t="s">
        <v>106</v>
      </c>
      <c r="J737" s="39"/>
      <c r="K737" s="33">
        <f t="shared" si="58"/>
        <v>-385672.23</v>
      </c>
      <c r="L737" s="33"/>
      <c r="M737" s="8"/>
      <c r="N737" s="14" t="s">
        <v>32</v>
      </c>
      <c r="O737" s="15" t="s">
        <v>129</v>
      </c>
      <c r="P737" s="1"/>
    </row>
    <row r="738" spans="1:16" ht="15.75" hidden="1">
      <c r="A738" s="28">
        <f>A737+1</f>
        <v>96</v>
      </c>
      <c r="B738" s="14" t="s">
        <v>96</v>
      </c>
      <c r="C738" s="15" t="s">
        <v>106</v>
      </c>
      <c r="D738" s="39"/>
      <c r="E738" s="33">
        <f t="shared" si="57"/>
        <v>-385543.71</v>
      </c>
      <c r="F738" s="8"/>
      <c r="G738" s="38">
        <f>G737+1</f>
        <v>96</v>
      </c>
      <c r="H738" s="14" t="s">
        <v>96</v>
      </c>
      <c r="I738" s="15" t="s">
        <v>106</v>
      </c>
      <c r="J738" s="39"/>
      <c r="K738" s="33">
        <f t="shared" si="58"/>
        <v>-385672.23</v>
      </c>
      <c r="L738" s="33"/>
      <c r="M738" s="8"/>
      <c r="N738" s="14" t="s">
        <v>33</v>
      </c>
      <c r="O738" s="15" t="s">
        <v>129</v>
      </c>
      <c r="P738" s="1">
        <v>148.75</v>
      </c>
    </row>
    <row r="739" spans="1:16" ht="15.75" hidden="1">
      <c r="A739" s="28">
        <f>A738+1</f>
        <v>97</v>
      </c>
      <c r="B739" s="22" t="s">
        <v>116</v>
      </c>
      <c r="C739" s="23" t="s">
        <v>106</v>
      </c>
      <c r="D739" s="39"/>
      <c r="E739" s="44">
        <f t="shared" si="57"/>
        <v>-385543.71</v>
      </c>
      <c r="F739" s="8"/>
      <c r="G739" s="53">
        <f>G738+1</f>
        <v>97</v>
      </c>
      <c r="H739" s="22" t="s">
        <v>116</v>
      </c>
      <c r="I739" s="23" t="s">
        <v>106</v>
      </c>
      <c r="J739" s="39">
        <v>-189.7</v>
      </c>
      <c r="K739" s="33">
        <f t="shared" si="58"/>
        <v>-385861.93</v>
      </c>
      <c r="L739" s="33">
        <f t="shared" si="59"/>
        <v>-189.7</v>
      </c>
      <c r="M739" s="8"/>
      <c r="N739" s="14" t="s">
        <v>34</v>
      </c>
      <c r="O739" s="15" t="s">
        <v>129</v>
      </c>
      <c r="P739" s="1">
        <v>-7919.83</v>
      </c>
    </row>
    <row r="740" spans="1:16" ht="15.75" hidden="1">
      <c r="A740" s="28">
        <f>A739+1</f>
        <v>98</v>
      </c>
      <c r="B740" s="8" t="s">
        <v>120</v>
      </c>
      <c r="C740" s="23" t="s">
        <v>106</v>
      </c>
      <c r="D740" s="55">
        <v>-3281.9</v>
      </c>
      <c r="E740" s="44">
        <f t="shared" si="57"/>
        <v>-388825.61</v>
      </c>
      <c r="F740" s="8"/>
      <c r="G740" s="53">
        <f>G739+1</f>
        <v>98</v>
      </c>
      <c r="H740" s="8" t="s">
        <v>120</v>
      </c>
      <c r="I740" s="23" t="s">
        <v>106</v>
      </c>
      <c r="J740" s="55">
        <v>-3353.3</v>
      </c>
      <c r="K740" s="33">
        <f t="shared" si="58"/>
        <v>-389215.23</v>
      </c>
      <c r="L740" s="33">
        <f t="shared" si="59"/>
        <v>-71.400000000000105</v>
      </c>
      <c r="M740" s="8"/>
      <c r="N740" s="14" t="s">
        <v>131</v>
      </c>
      <c r="O740" s="15" t="s">
        <v>129</v>
      </c>
      <c r="P740" s="1"/>
    </row>
    <row r="741" spans="1:16" ht="15.75" hidden="1">
      <c r="A741" s="56"/>
      <c r="B741" s="57" t="s">
        <v>102</v>
      </c>
      <c r="C741" s="58"/>
      <c r="D741" s="59">
        <f>SUM(D643:D740)</f>
        <v>-388825.61</v>
      </c>
      <c r="E741" s="59">
        <f>E740</f>
        <v>-388825.61</v>
      </c>
      <c r="F741" s="60"/>
      <c r="G741" s="60"/>
      <c r="H741" s="57" t="s">
        <v>102</v>
      </c>
      <c r="I741" s="60"/>
      <c r="J741" s="59">
        <f>SUM(J643:J740)</f>
        <v>-389215.23</v>
      </c>
      <c r="K741" s="59">
        <f>K740</f>
        <v>-389215.23</v>
      </c>
      <c r="L741" s="59">
        <f t="shared" si="59"/>
        <v>-389.61999999976302</v>
      </c>
      <c r="M741" s="8"/>
      <c r="N741" s="14" t="s">
        <v>36</v>
      </c>
      <c r="O741" s="15" t="s">
        <v>129</v>
      </c>
      <c r="P741" s="1">
        <v>-4242.33</v>
      </c>
    </row>
    <row r="742" spans="1:16" ht="15.75" hidden="1">
      <c r="A742" s="61"/>
      <c r="B742" s="61"/>
      <c r="C742" s="61"/>
      <c r="D742" s="8"/>
      <c r="E742" s="8"/>
      <c r="F742" s="8"/>
      <c r="G742" s="8"/>
      <c r="H742" s="8"/>
      <c r="I742" s="8"/>
      <c r="J742" s="8"/>
      <c r="K742" s="8"/>
      <c r="L742" s="8"/>
      <c r="M742" s="62">
        <f>J741-D741</f>
        <v>-389.61999999976302</v>
      </c>
      <c r="N742" s="14" t="s">
        <v>37</v>
      </c>
      <c r="O742" s="15" t="s">
        <v>129</v>
      </c>
      <c r="P742" s="1">
        <v>-11903.37</v>
      </c>
    </row>
    <row r="743" spans="1:16" ht="15.75" hidden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62">
        <f>SUM(J643:J740)</f>
        <v>-389215.23</v>
      </c>
      <c r="N743" s="43" t="s">
        <v>38</v>
      </c>
      <c r="O743" s="23" t="s">
        <v>130</v>
      </c>
      <c r="P743" s="1">
        <v>-460.3</v>
      </c>
    </row>
    <row r="744" spans="1:16" ht="15.75" hidden="1">
      <c r="A744" s="127" t="s">
        <v>154</v>
      </c>
      <c r="B744" s="128"/>
      <c r="C744" s="128"/>
      <c r="D744" s="128"/>
      <c r="E744" s="129"/>
      <c r="F744" s="12"/>
      <c r="G744" s="127" t="s">
        <v>157</v>
      </c>
      <c r="H744" s="128"/>
      <c r="I744" s="128"/>
      <c r="J744" s="128"/>
      <c r="K744" s="129"/>
      <c r="L744" s="130" t="s">
        <v>156</v>
      </c>
      <c r="M744" s="62">
        <f>SUM(D643:D740)</f>
        <v>-388825.61</v>
      </c>
      <c r="N744" s="25" t="s">
        <v>39</v>
      </c>
      <c r="O744" s="26" t="s">
        <v>132</v>
      </c>
      <c r="P744" s="1">
        <v>3092.45</v>
      </c>
    </row>
    <row r="745" spans="1:16" ht="31.5" hidden="1">
      <c r="A745" s="18" t="s">
        <v>112</v>
      </c>
      <c r="B745" s="19" t="s">
        <v>0</v>
      </c>
      <c r="C745" s="12" t="s">
        <v>113</v>
      </c>
      <c r="D745" s="20" t="s">
        <v>114</v>
      </c>
      <c r="E745" s="20" t="s">
        <v>115</v>
      </c>
      <c r="F745" s="63"/>
      <c r="G745" s="13" t="s">
        <v>112</v>
      </c>
      <c r="H745" s="12" t="s">
        <v>0</v>
      </c>
      <c r="I745" s="12" t="s">
        <v>113</v>
      </c>
      <c r="J745" s="12"/>
      <c r="K745" s="12" t="s">
        <v>115</v>
      </c>
      <c r="L745" s="131"/>
      <c r="M745" s="62">
        <f>M743-M744</f>
        <v>-389.61999999976302</v>
      </c>
      <c r="N745" s="14" t="s">
        <v>40</v>
      </c>
      <c r="O745" s="15" t="s">
        <v>132</v>
      </c>
      <c r="P745" s="1">
        <v>959.6</v>
      </c>
    </row>
    <row r="746" spans="1:16" ht="15.75" hidden="1">
      <c r="A746" s="64">
        <v>1</v>
      </c>
      <c r="B746" s="14" t="s">
        <v>8</v>
      </c>
      <c r="C746" s="15" t="s">
        <v>119</v>
      </c>
      <c r="D746" s="32"/>
      <c r="E746" s="66">
        <f>D746</f>
        <v>0</v>
      </c>
      <c r="F746" s="67"/>
      <c r="G746" s="68">
        <v>1</v>
      </c>
      <c r="H746" s="14" t="s">
        <v>8</v>
      </c>
      <c r="I746" s="15" t="s">
        <v>119</v>
      </c>
      <c r="J746" s="32">
        <v>1130.5999999999999</v>
      </c>
      <c r="K746" s="69">
        <f>J746</f>
        <v>1130.5999999999999</v>
      </c>
      <c r="L746" s="70">
        <f t="shared" ref="L746:L796" si="60">J746-D746</f>
        <v>1130.5999999999999</v>
      </c>
      <c r="M746" s="62"/>
      <c r="N746" s="14" t="s">
        <v>41</v>
      </c>
      <c r="O746" s="15" t="s">
        <v>132</v>
      </c>
      <c r="P746" s="1">
        <v>-15476.44</v>
      </c>
    </row>
    <row r="747" spans="1:16" ht="15.75" hidden="1">
      <c r="A747" s="71">
        <f>1+A746</f>
        <v>2</v>
      </c>
      <c r="B747" s="25" t="s">
        <v>3</v>
      </c>
      <c r="C747" s="15" t="s">
        <v>119</v>
      </c>
      <c r="D747" s="72"/>
      <c r="E747" s="73">
        <f>D747+E746</f>
        <v>0</v>
      </c>
      <c r="F747" s="74"/>
      <c r="G747" s="75">
        <f>1+G746</f>
        <v>2</v>
      </c>
      <c r="H747" s="25" t="s">
        <v>3</v>
      </c>
      <c r="I747" s="15" t="s">
        <v>119</v>
      </c>
      <c r="J747" s="72"/>
      <c r="K747" s="69">
        <f>K746+J747</f>
        <v>1130.5999999999999</v>
      </c>
      <c r="L747" s="70"/>
      <c r="M747" s="62"/>
      <c r="N747" s="14" t="s">
        <v>42</v>
      </c>
      <c r="O747" s="15" t="s">
        <v>132</v>
      </c>
      <c r="P747" s="1">
        <v>-2198.58</v>
      </c>
    </row>
    <row r="748" spans="1:16" ht="15.75" hidden="1">
      <c r="A748" s="71">
        <f t="shared" ref="A748:A797" si="61">1+A747</f>
        <v>3</v>
      </c>
      <c r="B748" s="25" t="s">
        <v>10</v>
      </c>
      <c r="C748" s="15" t="s">
        <v>119</v>
      </c>
      <c r="D748" s="76"/>
      <c r="E748" s="73">
        <f t="shared" ref="E748:E797" si="62">D748+E747</f>
        <v>0</v>
      </c>
      <c r="F748" s="77"/>
      <c r="G748" s="75">
        <f t="shared" ref="G748:G797" si="63">1+G747</f>
        <v>3</v>
      </c>
      <c r="H748" s="25" t="s">
        <v>10</v>
      </c>
      <c r="I748" s="15" t="s">
        <v>119</v>
      </c>
      <c r="J748" s="39">
        <v>811.1</v>
      </c>
      <c r="K748" s="69">
        <f t="shared" ref="K748:K797" si="64">K747+J748</f>
        <v>1941.7</v>
      </c>
      <c r="L748" s="70">
        <f t="shared" si="60"/>
        <v>811.1</v>
      </c>
      <c r="M748" s="62"/>
      <c r="N748" s="14" t="s">
        <v>43</v>
      </c>
      <c r="O748" s="15" t="s">
        <v>132</v>
      </c>
      <c r="P748" s="1">
        <v>-313.99</v>
      </c>
    </row>
    <row r="749" spans="1:16" ht="15.75" hidden="1">
      <c r="A749" s="71">
        <f t="shared" si="61"/>
        <v>4</v>
      </c>
      <c r="B749" s="78" t="s">
        <v>11</v>
      </c>
      <c r="C749" s="79" t="s">
        <v>119</v>
      </c>
      <c r="D749" s="39">
        <v>641.67999999999995</v>
      </c>
      <c r="E749" s="73">
        <f t="shared" si="62"/>
        <v>641.67999999999995</v>
      </c>
      <c r="F749" s="77"/>
      <c r="G749" s="75">
        <f t="shared" si="63"/>
        <v>4</v>
      </c>
      <c r="H749" s="43" t="s">
        <v>11</v>
      </c>
      <c r="I749" s="23" t="s">
        <v>119</v>
      </c>
      <c r="J749" s="39">
        <v>835.88</v>
      </c>
      <c r="K749" s="69">
        <f t="shared" si="64"/>
        <v>2777.58</v>
      </c>
      <c r="L749" s="70">
        <f t="shared" si="60"/>
        <v>194.2</v>
      </c>
      <c r="M749" s="62"/>
      <c r="N749" s="14" t="s">
        <v>44</v>
      </c>
      <c r="O749" s="15" t="s">
        <v>132</v>
      </c>
      <c r="P749" s="1">
        <v>-3028.78</v>
      </c>
    </row>
    <row r="750" spans="1:16" ht="15.75" hidden="1">
      <c r="A750" s="71">
        <f t="shared" si="61"/>
        <v>5</v>
      </c>
      <c r="B750" s="14" t="s">
        <v>22</v>
      </c>
      <c r="C750" s="15" t="s">
        <v>126</v>
      </c>
      <c r="D750" s="39">
        <v>3307.47</v>
      </c>
      <c r="E750" s="73">
        <f t="shared" si="62"/>
        <v>3949.15</v>
      </c>
      <c r="F750" s="77"/>
      <c r="G750" s="75">
        <f t="shared" si="63"/>
        <v>5</v>
      </c>
      <c r="H750" s="14" t="s">
        <v>22</v>
      </c>
      <c r="I750" s="15" t="s">
        <v>126</v>
      </c>
      <c r="J750" s="39">
        <v>3260.67</v>
      </c>
      <c r="K750" s="69">
        <f t="shared" si="64"/>
        <v>6038.25</v>
      </c>
      <c r="L750" s="70">
        <f t="shared" si="60"/>
        <v>-46.799999999999699</v>
      </c>
      <c r="M750" s="62"/>
      <c r="N750" s="48" t="s">
        <v>45</v>
      </c>
      <c r="O750" s="49" t="s">
        <v>132</v>
      </c>
      <c r="P750" s="1">
        <v>-453.33</v>
      </c>
    </row>
    <row r="751" spans="1:16" ht="15.75" hidden="1">
      <c r="A751" s="71">
        <f t="shared" si="61"/>
        <v>6</v>
      </c>
      <c r="B751" s="14" t="s">
        <v>23</v>
      </c>
      <c r="C751" s="15" t="s">
        <v>126</v>
      </c>
      <c r="D751" s="76"/>
      <c r="E751" s="73">
        <f t="shared" si="62"/>
        <v>3949.15</v>
      </c>
      <c r="F751" s="77"/>
      <c r="G751" s="75">
        <f t="shared" si="63"/>
        <v>6</v>
      </c>
      <c r="H751" s="14" t="s">
        <v>23</v>
      </c>
      <c r="I751" s="15" t="s">
        <v>126</v>
      </c>
      <c r="J751" s="76"/>
      <c r="K751" s="69">
        <f t="shared" si="64"/>
        <v>6038.25</v>
      </c>
      <c r="L751" s="70"/>
      <c r="M751" s="62"/>
      <c r="N751" s="50" t="s">
        <v>46</v>
      </c>
      <c r="O751" s="49" t="s">
        <v>132</v>
      </c>
      <c r="P751" s="1">
        <v>-18753.8</v>
      </c>
    </row>
    <row r="752" spans="1:16" ht="15.75" hidden="1">
      <c r="A752" s="71">
        <f t="shared" si="61"/>
        <v>7</v>
      </c>
      <c r="B752" s="14" t="s">
        <v>24</v>
      </c>
      <c r="C752" s="15" t="s">
        <v>126</v>
      </c>
      <c r="D752" s="76"/>
      <c r="E752" s="73">
        <f t="shared" si="62"/>
        <v>3949.15</v>
      </c>
      <c r="F752" s="77"/>
      <c r="G752" s="75">
        <f t="shared" si="63"/>
        <v>7</v>
      </c>
      <c r="H752" s="14" t="s">
        <v>24</v>
      </c>
      <c r="I752" s="15" t="s">
        <v>126</v>
      </c>
      <c r="J752" s="76"/>
      <c r="K752" s="69">
        <f t="shared" si="64"/>
        <v>6038.25</v>
      </c>
      <c r="L752" s="70"/>
      <c r="M752" s="62"/>
      <c r="N752" s="14" t="s">
        <v>47</v>
      </c>
      <c r="O752" s="15" t="s">
        <v>132</v>
      </c>
      <c r="P752" s="1">
        <v>-282.67</v>
      </c>
    </row>
    <row r="753" spans="1:16" ht="15.75" hidden="1">
      <c r="A753" s="71">
        <f t="shared" si="61"/>
        <v>8</v>
      </c>
      <c r="B753" s="14" t="s">
        <v>33</v>
      </c>
      <c r="C753" s="15" t="s">
        <v>126</v>
      </c>
      <c r="D753" s="39">
        <v>141.35</v>
      </c>
      <c r="E753" s="73">
        <f t="shared" si="62"/>
        <v>4090.5</v>
      </c>
      <c r="F753" s="77"/>
      <c r="G753" s="75">
        <f t="shared" si="63"/>
        <v>8</v>
      </c>
      <c r="H753" s="14" t="s">
        <v>33</v>
      </c>
      <c r="I753" s="15" t="s">
        <v>126</v>
      </c>
      <c r="J753" s="39">
        <v>148.75</v>
      </c>
      <c r="K753" s="69">
        <f t="shared" si="64"/>
        <v>6187</v>
      </c>
      <c r="L753" s="70">
        <f t="shared" si="60"/>
        <v>7.4000000000000101</v>
      </c>
      <c r="M753" s="62"/>
      <c r="N753" s="14" t="s">
        <v>48</v>
      </c>
      <c r="O753" s="15" t="s">
        <v>132</v>
      </c>
      <c r="P753" s="1">
        <v>242.18</v>
      </c>
    </row>
    <row r="754" spans="1:16" ht="15.75" hidden="1">
      <c r="A754" s="71">
        <f t="shared" si="61"/>
        <v>9</v>
      </c>
      <c r="B754" s="47" t="s">
        <v>127</v>
      </c>
      <c r="C754" s="15" t="s">
        <v>126</v>
      </c>
      <c r="D754" s="39">
        <v>1714.64</v>
      </c>
      <c r="E754" s="73">
        <f t="shared" si="62"/>
        <v>5805.14</v>
      </c>
      <c r="F754" s="77"/>
      <c r="G754" s="75">
        <f t="shared" si="63"/>
        <v>9</v>
      </c>
      <c r="H754" s="47" t="s">
        <v>127</v>
      </c>
      <c r="I754" s="15" t="s">
        <v>126</v>
      </c>
      <c r="J754" s="39">
        <v>746.74</v>
      </c>
      <c r="K754" s="69">
        <f t="shared" si="64"/>
        <v>6933.74</v>
      </c>
      <c r="L754" s="70">
        <f t="shared" si="60"/>
        <v>-967.9</v>
      </c>
      <c r="M754" s="62"/>
      <c r="N754" s="14" t="s">
        <v>49</v>
      </c>
      <c r="O754" s="15" t="s">
        <v>132</v>
      </c>
      <c r="P754" s="1">
        <v>-292.42</v>
      </c>
    </row>
    <row r="755" spans="1:16" ht="15.75" hidden="1">
      <c r="A755" s="71">
        <f t="shared" si="61"/>
        <v>10</v>
      </c>
      <c r="B755" s="14" t="s">
        <v>40</v>
      </c>
      <c r="C755" s="15" t="s">
        <v>129</v>
      </c>
      <c r="D755" s="39">
        <v>991.6</v>
      </c>
      <c r="E755" s="73">
        <f t="shared" si="62"/>
        <v>6796.74</v>
      </c>
      <c r="F755" s="77"/>
      <c r="G755" s="75">
        <f t="shared" si="63"/>
        <v>10</v>
      </c>
      <c r="H755" s="14" t="s">
        <v>40</v>
      </c>
      <c r="I755" s="15" t="s">
        <v>129</v>
      </c>
      <c r="J755" s="39">
        <v>959.6</v>
      </c>
      <c r="K755" s="69">
        <f t="shared" si="64"/>
        <v>7893.34</v>
      </c>
      <c r="L755" s="70">
        <f t="shared" si="60"/>
        <v>-32</v>
      </c>
      <c r="M755" s="62"/>
      <c r="N755" s="14" t="s">
        <v>50</v>
      </c>
      <c r="O755" s="15" t="s">
        <v>132</v>
      </c>
      <c r="P755" s="1">
        <v>-691.16</v>
      </c>
    </row>
    <row r="756" spans="1:16" ht="15.75" hidden="1">
      <c r="A756" s="71">
        <f t="shared" si="61"/>
        <v>11</v>
      </c>
      <c r="B756" s="43" t="s">
        <v>38</v>
      </c>
      <c r="C756" s="15" t="s">
        <v>130</v>
      </c>
      <c r="D756" s="72"/>
      <c r="E756" s="73">
        <f t="shared" si="62"/>
        <v>6796.74</v>
      </c>
      <c r="F756" s="77"/>
      <c r="G756" s="75">
        <f t="shared" si="63"/>
        <v>11</v>
      </c>
      <c r="H756" s="43" t="s">
        <v>38</v>
      </c>
      <c r="I756" s="23" t="s">
        <v>130</v>
      </c>
      <c r="J756" s="72"/>
      <c r="K756" s="69">
        <f t="shared" si="64"/>
        <v>7893.34</v>
      </c>
      <c r="L756" s="70"/>
      <c r="M756" s="62"/>
      <c r="N756" s="25" t="s">
        <v>51</v>
      </c>
      <c r="O756" s="26" t="s">
        <v>133</v>
      </c>
      <c r="P756" s="1">
        <v>-2492.96</v>
      </c>
    </row>
    <row r="757" spans="1:16" ht="15.75" hidden="1">
      <c r="A757" s="71">
        <f t="shared" si="61"/>
        <v>12</v>
      </c>
      <c r="B757" s="25" t="s">
        <v>39</v>
      </c>
      <c r="C757" s="26" t="s">
        <v>132</v>
      </c>
      <c r="D757" s="39">
        <v>3699.95</v>
      </c>
      <c r="E757" s="73">
        <f t="shared" si="62"/>
        <v>10496.69</v>
      </c>
      <c r="F757" s="77"/>
      <c r="G757" s="75">
        <f t="shared" si="63"/>
        <v>12</v>
      </c>
      <c r="H757" s="25" t="s">
        <v>39</v>
      </c>
      <c r="I757" s="26" t="s">
        <v>132</v>
      </c>
      <c r="J757" s="39">
        <v>3092.45</v>
      </c>
      <c r="K757" s="69">
        <f t="shared" si="64"/>
        <v>10985.79</v>
      </c>
      <c r="L757" s="70">
        <f t="shared" si="60"/>
        <v>-607.5</v>
      </c>
      <c r="M757" s="62"/>
      <c r="N757" s="14" t="s">
        <v>52</v>
      </c>
      <c r="O757" s="15" t="s">
        <v>133</v>
      </c>
      <c r="P757" s="1">
        <v>1019.08</v>
      </c>
    </row>
    <row r="758" spans="1:16" ht="15.75" hidden="1">
      <c r="A758" s="71">
        <f t="shared" si="61"/>
        <v>13</v>
      </c>
      <c r="B758" s="14" t="s">
        <v>42</v>
      </c>
      <c r="C758" s="15" t="s">
        <v>132</v>
      </c>
      <c r="D758" s="80"/>
      <c r="E758" s="73">
        <f t="shared" si="62"/>
        <v>10496.69</v>
      </c>
      <c r="F758" s="77"/>
      <c r="G758" s="75">
        <f t="shared" si="63"/>
        <v>13</v>
      </c>
      <c r="H758" s="14" t="s">
        <v>42</v>
      </c>
      <c r="I758" s="15" t="s">
        <v>132</v>
      </c>
      <c r="J758" s="39"/>
      <c r="K758" s="69">
        <f t="shared" si="64"/>
        <v>10985.79</v>
      </c>
      <c r="L758" s="70"/>
      <c r="M758" s="62"/>
      <c r="N758" s="14" t="s">
        <v>53</v>
      </c>
      <c r="O758" s="15" t="s">
        <v>133</v>
      </c>
      <c r="P758" s="1">
        <v>-280.42</v>
      </c>
    </row>
    <row r="759" spans="1:16" ht="15.75" hidden="1">
      <c r="A759" s="71">
        <f t="shared" si="61"/>
        <v>14</v>
      </c>
      <c r="B759" s="48" t="s">
        <v>45</v>
      </c>
      <c r="C759" s="49" t="s">
        <v>132</v>
      </c>
      <c r="D759" s="39"/>
      <c r="E759" s="73">
        <f t="shared" si="62"/>
        <v>10496.69</v>
      </c>
      <c r="F759" s="77"/>
      <c r="G759" s="75">
        <f t="shared" si="63"/>
        <v>14</v>
      </c>
      <c r="H759" s="48" t="s">
        <v>45</v>
      </c>
      <c r="I759" s="49" t="s">
        <v>132</v>
      </c>
      <c r="J759" s="39"/>
      <c r="K759" s="69">
        <f t="shared" si="64"/>
        <v>10985.79</v>
      </c>
      <c r="L759" s="70"/>
      <c r="M759" s="62"/>
      <c r="N759" s="14" t="s">
        <v>54</v>
      </c>
      <c r="O759" s="15" t="s">
        <v>133</v>
      </c>
      <c r="P759" s="1">
        <v>2989.9169999999999</v>
      </c>
    </row>
    <row r="760" spans="1:16" ht="15.75" hidden="1">
      <c r="A760" s="71">
        <f t="shared" si="61"/>
        <v>15</v>
      </c>
      <c r="B760" s="14" t="s">
        <v>47</v>
      </c>
      <c r="C760" s="15" t="s">
        <v>132</v>
      </c>
      <c r="D760" s="37"/>
      <c r="E760" s="73">
        <f t="shared" si="62"/>
        <v>10496.69</v>
      </c>
      <c r="F760" s="77"/>
      <c r="G760" s="75">
        <f t="shared" si="63"/>
        <v>15</v>
      </c>
      <c r="H760" s="14" t="s">
        <v>47</v>
      </c>
      <c r="I760" s="15" t="s">
        <v>132</v>
      </c>
      <c r="J760" s="37"/>
      <c r="K760" s="69">
        <f t="shared" si="64"/>
        <v>10985.79</v>
      </c>
      <c r="L760" s="70"/>
      <c r="M760" s="62"/>
      <c r="N760" s="14" t="s">
        <v>55</v>
      </c>
      <c r="O760" s="15" t="s">
        <v>133</v>
      </c>
      <c r="P760" s="1">
        <v>-5506.03</v>
      </c>
    </row>
    <row r="761" spans="1:16" ht="15.75" hidden="1">
      <c r="A761" s="71">
        <f t="shared" si="61"/>
        <v>16</v>
      </c>
      <c r="B761" s="14" t="s">
        <v>48</v>
      </c>
      <c r="C761" s="15" t="s">
        <v>132</v>
      </c>
      <c r="D761" s="39">
        <v>83.98</v>
      </c>
      <c r="E761" s="73">
        <f t="shared" si="62"/>
        <v>10580.67</v>
      </c>
      <c r="F761" s="77"/>
      <c r="G761" s="75">
        <f t="shared" si="63"/>
        <v>16</v>
      </c>
      <c r="H761" s="14" t="s">
        <v>48</v>
      </c>
      <c r="I761" s="15" t="s">
        <v>132</v>
      </c>
      <c r="J761" s="39">
        <v>242.18</v>
      </c>
      <c r="K761" s="69">
        <f t="shared" si="64"/>
        <v>11227.97</v>
      </c>
      <c r="L761" s="70">
        <f t="shared" si="60"/>
        <v>158.19999999999999</v>
      </c>
      <c r="M761" s="62"/>
      <c r="N761" s="14" t="s">
        <v>56</v>
      </c>
      <c r="O761" s="15" t="s">
        <v>133</v>
      </c>
      <c r="P761" s="1">
        <v>-4015.82</v>
      </c>
    </row>
    <row r="762" spans="1:16" ht="15.75" hidden="1">
      <c r="A762" s="71">
        <f t="shared" si="61"/>
        <v>17</v>
      </c>
      <c r="B762" s="14" t="s">
        <v>49</v>
      </c>
      <c r="C762" s="15" t="s">
        <v>132</v>
      </c>
      <c r="D762" s="72"/>
      <c r="E762" s="73">
        <f t="shared" si="62"/>
        <v>10580.67</v>
      </c>
      <c r="F762" s="77"/>
      <c r="G762" s="75">
        <f t="shared" si="63"/>
        <v>17</v>
      </c>
      <c r="H762" s="14" t="s">
        <v>49</v>
      </c>
      <c r="I762" s="15" t="s">
        <v>132</v>
      </c>
      <c r="J762" s="72"/>
      <c r="K762" s="69">
        <f t="shared" si="64"/>
        <v>11227.97</v>
      </c>
      <c r="L762" s="70"/>
      <c r="M762" s="62"/>
      <c r="N762" s="14" t="s">
        <v>57</v>
      </c>
      <c r="O762" s="15" t="s">
        <v>133</v>
      </c>
      <c r="P762" s="1">
        <v>116.53</v>
      </c>
    </row>
    <row r="763" spans="1:16" ht="15.75" hidden="1">
      <c r="A763" s="71">
        <f t="shared" si="61"/>
        <v>18</v>
      </c>
      <c r="B763" s="14" t="s">
        <v>50</v>
      </c>
      <c r="C763" s="15" t="s">
        <v>132</v>
      </c>
      <c r="D763" s="76"/>
      <c r="E763" s="73">
        <f t="shared" si="62"/>
        <v>10580.67</v>
      </c>
      <c r="F763" s="77"/>
      <c r="G763" s="75">
        <f t="shared" si="63"/>
        <v>18</v>
      </c>
      <c r="H763" s="14" t="s">
        <v>50</v>
      </c>
      <c r="I763" s="15" t="s">
        <v>132</v>
      </c>
      <c r="J763" s="76"/>
      <c r="K763" s="69">
        <f t="shared" si="64"/>
        <v>11227.97</v>
      </c>
      <c r="L763" s="70"/>
      <c r="M763" s="62"/>
      <c r="N763" s="43" t="s">
        <v>58</v>
      </c>
      <c r="O763" s="23" t="s">
        <v>133</v>
      </c>
      <c r="P763" s="1">
        <v>-10773.6</v>
      </c>
    </row>
    <row r="764" spans="1:16" ht="15.75" hidden="1">
      <c r="A764" s="71">
        <f t="shared" si="61"/>
        <v>19</v>
      </c>
      <c r="B764" s="25" t="s">
        <v>51</v>
      </c>
      <c r="C764" s="81" t="s">
        <v>133</v>
      </c>
      <c r="D764" s="39">
        <v>1667.16</v>
      </c>
      <c r="E764" s="73">
        <f t="shared" si="62"/>
        <v>12247.83</v>
      </c>
      <c r="F764" s="77"/>
      <c r="G764" s="75">
        <f t="shared" si="63"/>
        <v>19</v>
      </c>
      <c r="H764" s="25" t="s">
        <v>51</v>
      </c>
      <c r="I764" s="26" t="s">
        <v>133</v>
      </c>
      <c r="J764" s="39"/>
      <c r="K764" s="69">
        <f t="shared" si="64"/>
        <v>11227.97</v>
      </c>
      <c r="L764" s="70">
        <f t="shared" si="60"/>
        <v>-1667.16</v>
      </c>
      <c r="M764" s="62"/>
      <c r="N764" s="25" t="s">
        <v>59</v>
      </c>
      <c r="O764" s="26" t="s">
        <v>134</v>
      </c>
      <c r="P764" s="1">
        <v>779.61</v>
      </c>
    </row>
    <row r="765" spans="1:16" ht="15.75" hidden="1">
      <c r="A765" s="71">
        <f t="shared" si="61"/>
        <v>20</v>
      </c>
      <c r="B765" s="14" t="s">
        <v>52</v>
      </c>
      <c r="C765" s="15" t="s">
        <v>133</v>
      </c>
      <c r="D765" s="39">
        <v>827.78</v>
      </c>
      <c r="E765" s="73">
        <f t="shared" si="62"/>
        <v>13075.61</v>
      </c>
      <c r="F765" s="77"/>
      <c r="G765" s="75">
        <f t="shared" si="63"/>
        <v>20</v>
      </c>
      <c r="H765" s="14" t="s">
        <v>52</v>
      </c>
      <c r="I765" s="15" t="s">
        <v>133</v>
      </c>
      <c r="J765" s="39">
        <v>1019.08</v>
      </c>
      <c r="K765" s="69">
        <f t="shared" si="64"/>
        <v>12247.05</v>
      </c>
      <c r="L765" s="70">
        <f t="shared" si="60"/>
        <v>191.3</v>
      </c>
      <c r="M765" s="62"/>
      <c r="N765" s="14" t="s">
        <v>60</v>
      </c>
      <c r="O765" s="15" t="s">
        <v>134</v>
      </c>
      <c r="P765" s="1">
        <v>-9.48</v>
      </c>
    </row>
    <row r="766" spans="1:16" ht="15.75" hidden="1">
      <c r="A766" s="71">
        <f t="shared" si="61"/>
        <v>21</v>
      </c>
      <c r="B766" s="14" t="s">
        <v>53</v>
      </c>
      <c r="C766" s="15" t="s">
        <v>133</v>
      </c>
      <c r="D766" s="72"/>
      <c r="E766" s="73">
        <f t="shared" si="62"/>
        <v>13075.61</v>
      </c>
      <c r="F766" s="77"/>
      <c r="G766" s="75">
        <f t="shared" si="63"/>
        <v>21</v>
      </c>
      <c r="H766" s="14" t="s">
        <v>53</v>
      </c>
      <c r="I766" s="15" t="s">
        <v>133</v>
      </c>
      <c r="J766" s="72"/>
      <c r="K766" s="69">
        <f t="shared" si="64"/>
        <v>12247.05</v>
      </c>
      <c r="L766" s="70"/>
      <c r="M766" s="62"/>
      <c r="N766" s="14" t="s">
        <v>61</v>
      </c>
      <c r="O766" s="15" t="s">
        <v>134</v>
      </c>
      <c r="P766" s="1">
        <v>228.61</v>
      </c>
    </row>
    <row r="767" spans="1:16" ht="15.75" hidden="1">
      <c r="A767" s="71">
        <f t="shared" si="61"/>
        <v>22</v>
      </c>
      <c r="B767" s="14" t="s">
        <v>54</v>
      </c>
      <c r="C767" s="15" t="s">
        <v>133</v>
      </c>
      <c r="D767" s="39">
        <v>2930.817</v>
      </c>
      <c r="E767" s="73">
        <f t="shared" si="62"/>
        <v>16006.427</v>
      </c>
      <c r="F767" s="77"/>
      <c r="G767" s="75">
        <f t="shared" si="63"/>
        <v>22</v>
      </c>
      <c r="H767" s="14" t="s">
        <v>54</v>
      </c>
      <c r="I767" s="15" t="s">
        <v>133</v>
      </c>
      <c r="J767" s="39">
        <v>2989.9169999999999</v>
      </c>
      <c r="K767" s="69">
        <f t="shared" si="64"/>
        <v>15236.967000000001</v>
      </c>
      <c r="L767" s="70">
        <f t="shared" si="60"/>
        <v>59.099999999999902</v>
      </c>
      <c r="M767" s="62"/>
      <c r="N767" s="14" t="s">
        <v>62</v>
      </c>
      <c r="O767" s="15" t="s">
        <v>134</v>
      </c>
      <c r="P767" s="1">
        <v>760.85</v>
      </c>
    </row>
    <row r="768" spans="1:16" ht="15.75" hidden="1">
      <c r="A768" s="71">
        <f t="shared" si="61"/>
        <v>23</v>
      </c>
      <c r="B768" s="14" t="s">
        <v>57</v>
      </c>
      <c r="C768" s="15" t="s">
        <v>133</v>
      </c>
      <c r="D768" s="39">
        <v>449.32</v>
      </c>
      <c r="E768" s="73">
        <f t="shared" si="62"/>
        <v>16455.746999999999</v>
      </c>
      <c r="F768" s="77"/>
      <c r="G768" s="75">
        <f t="shared" si="63"/>
        <v>23</v>
      </c>
      <c r="H768" s="14" t="s">
        <v>57</v>
      </c>
      <c r="I768" s="15" t="s">
        <v>133</v>
      </c>
      <c r="J768" s="39">
        <v>116.53</v>
      </c>
      <c r="K768" s="69">
        <f t="shared" si="64"/>
        <v>15353.496999999999</v>
      </c>
      <c r="L768" s="70">
        <f t="shared" si="60"/>
        <v>-332.79</v>
      </c>
      <c r="M768" s="62"/>
      <c r="N768" s="14" t="s">
        <v>63</v>
      </c>
      <c r="O768" s="15" t="s">
        <v>134</v>
      </c>
      <c r="P768" s="1">
        <v>782.1</v>
      </c>
    </row>
    <row r="769" spans="1:16" ht="15.75" hidden="1">
      <c r="A769" s="71">
        <f t="shared" si="61"/>
        <v>24</v>
      </c>
      <c r="B769" s="25" t="s">
        <v>59</v>
      </c>
      <c r="C769" s="15" t="s">
        <v>134</v>
      </c>
      <c r="D769" s="39">
        <v>744.11</v>
      </c>
      <c r="E769" s="73">
        <f t="shared" si="62"/>
        <v>17199.857</v>
      </c>
      <c r="F769" s="77"/>
      <c r="G769" s="75">
        <f t="shared" si="63"/>
        <v>24</v>
      </c>
      <c r="H769" s="25" t="s">
        <v>59</v>
      </c>
      <c r="I769" s="26" t="s">
        <v>134</v>
      </c>
      <c r="J769" s="39">
        <v>779.61</v>
      </c>
      <c r="K769" s="69">
        <f t="shared" si="64"/>
        <v>16133.107</v>
      </c>
      <c r="L769" s="70">
        <f t="shared" si="60"/>
        <v>35.5</v>
      </c>
      <c r="M769" s="62"/>
      <c r="N769" s="14" t="s">
        <v>64</v>
      </c>
      <c r="O769" s="15" t="s">
        <v>134</v>
      </c>
      <c r="P769" s="1">
        <v>2.4500000000000002</v>
      </c>
    </row>
    <row r="770" spans="1:16" ht="15.75" hidden="1">
      <c r="A770" s="71">
        <f t="shared" si="61"/>
        <v>25</v>
      </c>
      <c r="B770" s="14" t="s">
        <v>61</v>
      </c>
      <c r="C770" s="15" t="s">
        <v>134</v>
      </c>
      <c r="D770" s="72"/>
      <c r="E770" s="73">
        <f t="shared" si="62"/>
        <v>17199.857</v>
      </c>
      <c r="F770" s="77"/>
      <c r="G770" s="75">
        <f t="shared" si="63"/>
        <v>25</v>
      </c>
      <c r="H770" s="14" t="s">
        <v>60</v>
      </c>
      <c r="I770" s="15" t="s">
        <v>134</v>
      </c>
      <c r="J770" s="72"/>
      <c r="K770" s="69">
        <f t="shared" si="64"/>
        <v>16133.107</v>
      </c>
      <c r="L770" s="70"/>
      <c r="M770" s="62"/>
      <c r="N770" s="14" t="s">
        <v>65</v>
      </c>
      <c r="O770" s="15" t="s">
        <v>134</v>
      </c>
      <c r="P770" s="1">
        <v>134.99</v>
      </c>
    </row>
    <row r="771" spans="1:16" ht="15.75" hidden="1">
      <c r="A771" s="71">
        <f t="shared" si="61"/>
        <v>26</v>
      </c>
      <c r="B771" s="14" t="s">
        <v>62</v>
      </c>
      <c r="C771" s="15" t="s">
        <v>134</v>
      </c>
      <c r="D771" s="39">
        <v>119.21</v>
      </c>
      <c r="E771" s="73">
        <f t="shared" si="62"/>
        <v>17319.066999999999</v>
      </c>
      <c r="F771" s="77"/>
      <c r="G771" s="75">
        <f t="shared" si="63"/>
        <v>26</v>
      </c>
      <c r="H771" s="14" t="s">
        <v>61</v>
      </c>
      <c r="I771" s="15" t="s">
        <v>134</v>
      </c>
      <c r="J771" s="39">
        <v>228.61</v>
      </c>
      <c r="K771" s="69">
        <f t="shared" si="64"/>
        <v>16361.717000000001</v>
      </c>
      <c r="L771" s="70">
        <f t="shared" si="60"/>
        <v>109.4</v>
      </c>
      <c r="M771" s="62"/>
      <c r="N771" s="43" t="s">
        <v>66</v>
      </c>
      <c r="O771" s="23" t="s">
        <v>134</v>
      </c>
      <c r="P771" s="1">
        <v>2642.69</v>
      </c>
    </row>
    <row r="772" spans="1:16" ht="15.75" hidden="1">
      <c r="A772" s="71">
        <f t="shared" si="61"/>
        <v>27</v>
      </c>
      <c r="B772" s="14" t="s">
        <v>63</v>
      </c>
      <c r="C772" s="15" t="s">
        <v>134</v>
      </c>
      <c r="D772" s="39">
        <v>857.85</v>
      </c>
      <c r="E772" s="73">
        <f t="shared" si="62"/>
        <v>18176.917000000001</v>
      </c>
      <c r="F772" s="77"/>
      <c r="G772" s="75">
        <f t="shared" si="63"/>
        <v>27</v>
      </c>
      <c r="H772" s="14" t="s">
        <v>62</v>
      </c>
      <c r="I772" s="15" t="s">
        <v>134</v>
      </c>
      <c r="J772" s="39">
        <v>760.85</v>
      </c>
      <c r="K772" s="69">
        <f t="shared" si="64"/>
        <v>17122.566999999999</v>
      </c>
      <c r="L772" s="70">
        <f t="shared" si="60"/>
        <v>-97</v>
      </c>
      <c r="M772" s="62"/>
      <c r="N772" s="25" t="s">
        <v>67</v>
      </c>
      <c r="O772" s="26" t="s">
        <v>135</v>
      </c>
      <c r="P772" s="1">
        <v>-1509.11</v>
      </c>
    </row>
    <row r="773" spans="1:16" ht="15.75" hidden="1">
      <c r="A773" s="71">
        <f t="shared" si="61"/>
        <v>28</v>
      </c>
      <c r="B773" s="14" t="s">
        <v>63</v>
      </c>
      <c r="C773" s="15" t="s">
        <v>134</v>
      </c>
      <c r="D773" s="39">
        <v>643.4</v>
      </c>
      <c r="E773" s="73">
        <f t="shared" si="62"/>
        <v>18820.316999999999</v>
      </c>
      <c r="F773" s="77"/>
      <c r="G773" s="75">
        <f t="shared" si="63"/>
        <v>28</v>
      </c>
      <c r="H773" s="14" t="s">
        <v>63</v>
      </c>
      <c r="I773" s="15" t="s">
        <v>134</v>
      </c>
      <c r="J773" s="39">
        <v>782.1</v>
      </c>
      <c r="K773" s="69">
        <f t="shared" si="64"/>
        <v>17904.667000000001</v>
      </c>
      <c r="L773" s="70">
        <f t="shared" si="60"/>
        <v>138.69999999999999</v>
      </c>
      <c r="M773" s="62"/>
      <c r="N773" s="14" t="s">
        <v>68</v>
      </c>
      <c r="O773" s="15" t="s">
        <v>135</v>
      </c>
      <c r="P773" s="1">
        <v>-2758.16</v>
      </c>
    </row>
    <row r="774" spans="1:16" ht="15.75" hidden="1">
      <c r="A774" s="71">
        <f t="shared" si="61"/>
        <v>29</v>
      </c>
      <c r="B774" s="14" t="s">
        <v>64</v>
      </c>
      <c r="C774" s="15" t="s">
        <v>134</v>
      </c>
      <c r="D774" s="39">
        <v>737.15</v>
      </c>
      <c r="E774" s="73">
        <f t="shared" si="62"/>
        <v>19557.467000000001</v>
      </c>
      <c r="F774" s="77"/>
      <c r="G774" s="75">
        <f t="shared" si="63"/>
        <v>29</v>
      </c>
      <c r="H774" s="14" t="s">
        <v>64</v>
      </c>
      <c r="I774" s="15" t="s">
        <v>134</v>
      </c>
      <c r="J774" s="39">
        <v>2.4500000000000002</v>
      </c>
      <c r="K774" s="69">
        <f t="shared" si="64"/>
        <v>17907.116999999998</v>
      </c>
      <c r="L774" s="70">
        <f t="shared" si="60"/>
        <v>-734.7</v>
      </c>
      <c r="M774" s="62"/>
      <c r="N774" s="43" t="s">
        <v>69</v>
      </c>
      <c r="O774" s="23" t="s">
        <v>135</v>
      </c>
      <c r="P774" s="1">
        <v>-3219.36</v>
      </c>
    </row>
    <row r="775" spans="1:16" ht="15.75" hidden="1">
      <c r="A775" s="71">
        <f t="shared" si="61"/>
        <v>30</v>
      </c>
      <c r="B775" s="14" t="s">
        <v>65</v>
      </c>
      <c r="C775" s="15" t="s">
        <v>134</v>
      </c>
      <c r="D775" s="39">
        <v>159.29</v>
      </c>
      <c r="E775" s="73">
        <f t="shared" si="62"/>
        <v>19716.757000000001</v>
      </c>
      <c r="F775" s="77"/>
      <c r="G775" s="75">
        <f t="shared" si="63"/>
        <v>30</v>
      </c>
      <c r="H775" s="14" t="s">
        <v>65</v>
      </c>
      <c r="I775" s="15" t="s">
        <v>134</v>
      </c>
      <c r="J775" s="39">
        <v>134.99</v>
      </c>
      <c r="K775" s="69">
        <f t="shared" si="64"/>
        <v>18042.107</v>
      </c>
      <c r="L775" s="70">
        <f t="shared" si="60"/>
        <v>-24.3</v>
      </c>
      <c r="M775" s="62"/>
      <c r="N775" s="25" t="s">
        <v>136</v>
      </c>
      <c r="O775" s="26" t="s">
        <v>137</v>
      </c>
      <c r="P775" s="1">
        <v>-2926.58</v>
      </c>
    </row>
    <row r="776" spans="1:16" ht="15.75" hidden="1">
      <c r="A776" s="71">
        <f t="shared" si="61"/>
        <v>31</v>
      </c>
      <c r="B776" s="43" t="s">
        <v>66</v>
      </c>
      <c r="C776" s="23" t="s">
        <v>134</v>
      </c>
      <c r="D776" s="39">
        <v>2230.09</v>
      </c>
      <c r="E776" s="73">
        <f t="shared" si="62"/>
        <v>21946.847000000002</v>
      </c>
      <c r="F776" s="77"/>
      <c r="G776" s="75">
        <f t="shared" si="63"/>
        <v>31</v>
      </c>
      <c r="H776" s="43" t="s">
        <v>66</v>
      </c>
      <c r="I776" s="23" t="s">
        <v>135</v>
      </c>
      <c r="J776" s="39">
        <v>2642.69</v>
      </c>
      <c r="K776" s="69">
        <f t="shared" si="64"/>
        <v>20684.796999999999</v>
      </c>
      <c r="L776" s="70">
        <f t="shared" si="60"/>
        <v>412.6</v>
      </c>
      <c r="M776" s="62"/>
      <c r="N776" s="14" t="s">
        <v>71</v>
      </c>
      <c r="O776" s="15" t="s">
        <v>137</v>
      </c>
      <c r="P776" s="1">
        <v>1862.95</v>
      </c>
    </row>
    <row r="777" spans="1:16" ht="15.75" hidden="1">
      <c r="A777" s="71">
        <f t="shared" si="61"/>
        <v>32</v>
      </c>
      <c r="B777" s="14" t="s">
        <v>71</v>
      </c>
      <c r="C777" s="26" t="s">
        <v>137</v>
      </c>
      <c r="D777" s="39">
        <v>1392.85</v>
      </c>
      <c r="E777" s="73">
        <f t="shared" si="62"/>
        <v>23339.697</v>
      </c>
      <c r="F777" s="77"/>
      <c r="G777" s="75">
        <f t="shared" si="63"/>
        <v>32</v>
      </c>
      <c r="H777" s="14" t="s">
        <v>71</v>
      </c>
      <c r="I777" s="26" t="s">
        <v>137</v>
      </c>
      <c r="J777" s="39">
        <v>1862.95</v>
      </c>
      <c r="K777" s="69">
        <f t="shared" si="64"/>
        <v>22547.746999999999</v>
      </c>
      <c r="L777" s="70">
        <f t="shared" si="60"/>
        <v>470.1</v>
      </c>
      <c r="M777" s="62"/>
      <c r="N777" s="14" t="s">
        <v>72</v>
      </c>
      <c r="O777" s="15" t="s">
        <v>137</v>
      </c>
      <c r="P777" s="1">
        <v>1445</v>
      </c>
    </row>
    <row r="778" spans="1:16" ht="15.75" hidden="1">
      <c r="A778" s="71">
        <f t="shared" si="61"/>
        <v>33</v>
      </c>
      <c r="B778" s="14" t="s">
        <v>72</v>
      </c>
      <c r="C778" s="82" t="s">
        <v>137</v>
      </c>
      <c r="D778" s="39">
        <v>1028.3</v>
      </c>
      <c r="E778" s="73">
        <f t="shared" si="62"/>
        <v>24367.996999999999</v>
      </c>
      <c r="F778" s="77"/>
      <c r="G778" s="75">
        <f t="shared" si="63"/>
        <v>33</v>
      </c>
      <c r="H778" s="14" t="s">
        <v>72</v>
      </c>
      <c r="I778" s="82" t="s">
        <v>137</v>
      </c>
      <c r="J778" s="39">
        <v>1445</v>
      </c>
      <c r="K778" s="69">
        <f t="shared" si="64"/>
        <v>23992.746999999999</v>
      </c>
      <c r="L778" s="70">
        <f t="shared" si="60"/>
        <v>416.7</v>
      </c>
      <c r="M778" s="62"/>
      <c r="N778" s="14" t="s">
        <v>138</v>
      </c>
      <c r="O778" s="15" t="s">
        <v>137</v>
      </c>
      <c r="P778" s="1"/>
    </row>
    <row r="779" spans="1:16" ht="15.75" hidden="1">
      <c r="A779" s="71">
        <f t="shared" si="61"/>
        <v>34</v>
      </c>
      <c r="B779" s="25" t="s">
        <v>77</v>
      </c>
      <c r="C779" s="26" t="s">
        <v>139</v>
      </c>
      <c r="D779" s="39">
        <v>1677.78</v>
      </c>
      <c r="E779" s="73">
        <f t="shared" si="62"/>
        <v>26045.776999999998</v>
      </c>
      <c r="F779" s="77"/>
      <c r="G779" s="75">
        <f t="shared" si="63"/>
        <v>34</v>
      </c>
      <c r="H779" s="25" t="s">
        <v>77</v>
      </c>
      <c r="I779" s="26" t="s">
        <v>139</v>
      </c>
      <c r="J779" s="39">
        <v>1818.08</v>
      </c>
      <c r="K779" s="69">
        <f t="shared" si="64"/>
        <v>25810.827000000001</v>
      </c>
      <c r="L779" s="70">
        <f t="shared" si="60"/>
        <v>140.30000000000001</v>
      </c>
      <c r="M779" s="62"/>
      <c r="N779" s="14" t="s">
        <v>74</v>
      </c>
      <c r="O779" s="15" t="s">
        <v>137</v>
      </c>
      <c r="P779" s="1">
        <v>-3422.6</v>
      </c>
    </row>
    <row r="780" spans="1:16" ht="15.75" hidden="1">
      <c r="A780" s="71">
        <f t="shared" si="61"/>
        <v>35</v>
      </c>
      <c r="B780" s="14" t="s">
        <v>78</v>
      </c>
      <c r="C780" s="15" t="s">
        <v>139</v>
      </c>
      <c r="D780" s="39">
        <v>575.1</v>
      </c>
      <c r="E780" s="73">
        <f t="shared" si="62"/>
        <v>26620.877</v>
      </c>
      <c r="F780" s="77"/>
      <c r="G780" s="75">
        <f t="shared" si="63"/>
        <v>35</v>
      </c>
      <c r="H780" s="14" t="s">
        <v>78</v>
      </c>
      <c r="I780" s="15" t="s">
        <v>139</v>
      </c>
      <c r="J780" s="39">
        <v>468.5</v>
      </c>
      <c r="K780" s="69">
        <f t="shared" si="64"/>
        <v>26279.327000000001</v>
      </c>
      <c r="L780" s="70">
        <f t="shared" si="60"/>
        <v>-106.6</v>
      </c>
      <c r="M780" s="62"/>
      <c r="N780" s="14" t="s">
        <v>75</v>
      </c>
      <c r="O780" s="15" t="s">
        <v>137</v>
      </c>
      <c r="P780" s="1">
        <v>-15537.69</v>
      </c>
    </row>
    <row r="781" spans="1:16" ht="15.75" hidden="1">
      <c r="A781" s="71">
        <f t="shared" si="61"/>
        <v>36</v>
      </c>
      <c r="B781" s="14" t="s">
        <v>79</v>
      </c>
      <c r="C781" s="15" t="s">
        <v>139</v>
      </c>
      <c r="D781" s="76"/>
      <c r="E781" s="73">
        <f t="shared" si="62"/>
        <v>26620.877</v>
      </c>
      <c r="F781" s="77"/>
      <c r="G781" s="75">
        <f t="shared" si="63"/>
        <v>36</v>
      </c>
      <c r="H781" s="14" t="s">
        <v>79</v>
      </c>
      <c r="I781" s="15" t="s">
        <v>139</v>
      </c>
      <c r="J781" s="76"/>
      <c r="K781" s="69">
        <f t="shared" si="64"/>
        <v>26279.327000000001</v>
      </c>
      <c r="L781" s="70"/>
      <c r="M781" s="62"/>
      <c r="N781" s="43" t="s">
        <v>76</v>
      </c>
      <c r="O781" s="23" t="s">
        <v>137</v>
      </c>
      <c r="P781" s="1">
        <v>-49119.14</v>
      </c>
    </row>
    <row r="782" spans="1:16" ht="15.75" hidden="1">
      <c r="A782" s="71">
        <f t="shared" si="61"/>
        <v>37</v>
      </c>
      <c r="B782" s="25" t="s">
        <v>80</v>
      </c>
      <c r="C782" s="15" t="s">
        <v>139</v>
      </c>
      <c r="D782" s="39">
        <v>303.51</v>
      </c>
      <c r="E782" s="73">
        <f t="shared" si="62"/>
        <v>26924.386999999999</v>
      </c>
      <c r="F782" s="77"/>
      <c r="G782" s="75">
        <f t="shared" si="63"/>
        <v>37</v>
      </c>
      <c r="H782" s="14" t="s">
        <v>80</v>
      </c>
      <c r="I782" s="15" t="s">
        <v>139</v>
      </c>
      <c r="J782" s="39">
        <v>339.91</v>
      </c>
      <c r="K782" s="69">
        <f t="shared" si="64"/>
        <v>26619.237000000001</v>
      </c>
      <c r="L782" s="70">
        <f t="shared" si="60"/>
        <v>36.4</v>
      </c>
      <c r="M782" s="62"/>
      <c r="N782" s="25" t="s">
        <v>77</v>
      </c>
      <c r="O782" s="26" t="s">
        <v>139</v>
      </c>
      <c r="P782" s="1">
        <v>1818.08</v>
      </c>
    </row>
    <row r="783" spans="1:16" ht="15.75" hidden="1">
      <c r="A783" s="71">
        <f t="shared" si="61"/>
        <v>38</v>
      </c>
      <c r="B783" s="14" t="s">
        <v>81</v>
      </c>
      <c r="C783" s="15" t="s">
        <v>139</v>
      </c>
      <c r="D783" s="76"/>
      <c r="E783" s="73">
        <f t="shared" si="62"/>
        <v>26924.386999999999</v>
      </c>
      <c r="F783" s="77"/>
      <c r="G783" s="75">
        <f t="shared" si="63"/>
        <v>38</v>
      </c>
      <c r="H783" s="14" t="s">
        <v>81</v>
      </c>
      <c r="I783" s="15" t="s">
        <v>139</v>
      </c>
      <c r="J783" s="76"/>
      <c r="K783" s="69">
        <f t="shared" si="64"/>
        <v>26619.237000000001</v>
      </c>
      <c r="L783" s="70"/>
      <c r="M783" s="62"/>
      <c r="N783" s="14" t="s">
        <v>78</v>
      </c>
      <c r="O783" s="15" t="s">
        <v>139</v>
      </c>
      <c r="P783" s="1">
        <v>468.5</v>
      </c>
    </row>
    <row r="784" spans="1:16" ht="15.75" hidden="1">
      <c r="A784" s="71">
        <f t="shared" si="61"/>
        <v>39</v>
      </c>
      <c r="B784" s="14" t="s">
        <v>82</v>
      </c>
      <c r="C784" s="15" t="s">
        <v>139</v>
      </c>
      <c r="D784" s="39">
        <v>182.7</v>
      </c>
      <c r="E784" s="73">
        <f t="shared" si="62"/>
        <v>27107.087</v>
      </c>
      <c r="F784" s="77"/>
      <c r="G784" s="75">
        <f t="shared" si="63"/>
        <v>39</v>
      </c>
      <c r="H784" s="14" t="s">
        <v>82</v>
      </c>
      <c r="I784" s="15" t="s">
        <v>139</v>
      </c>
      <c r="J784" s="39"/>
      <c r="K784" s="69">
        <f t="shared" si="64"/>
        <v>26619.237000000001</v>
      </c>
      <c r="L784" s="70">
        <f t="shared" si="60"/>
        <v>-182.7</v>
      </c>
      <c r="M784" s="62"/>
      <c r="N784" s="14" t="s">
        <v>79</v>
      </c>
      <c r="O784" s="15" t="s">
        <v>139</v>
      </c>
      <c r="P784" s="1">
        <v>-1980.46</v>
      </c>
    </row>
    <row r="785" spans="1:16" ht="15.75" hidden="1">
      <c r="A785" s="71">
        <f t="shared" si="61"/>
        <v>40</v>
      </c>
      <c r="B785" s="14" t="s">
        <v>83</v>
      </c>
      <c r="C785" s="15" t="s">
        <v>139</v>
      </c>
      <c r="D785" s="76"/>
      <c r="E785" s="73">
        <f t="shared" si="62"/>
        <v>27107.087</v>
      </c>
      <c r="F785" s="77"/>
      <c r="G785" s="75">
        <f t="shared" si="63"/>
        <v>40</v>
      </c>
      <c r="H785" s="14" t="s">
        <v>83</v>
      </c>
      <c r="I785" s="15" t="s">
        <v>139</v>
      </c>
      <c r="J785" s="76"/>
      <c r="K785" s="69">
        <f t="shared" si="64"/>
        <v>26619.237000000001</v>
      </c>
      <c r="L785" s="70"/>
      <c r="M785" s="62"/>
      <c r="N785" s="14" t="s">
        <v>80</v>
      </c>
      <c r="O785" s="15" t="s">
        <v>139</v>
      </c>
      <c r="P785" s="1">
        <v>339.91</v>
      </c>
    </row>
    <row r="786" spans="1:16" ht="15.75" hidden="1">
      <c r="A786" s="71">
        <f t="shared" si="61"/>
        <v>41</v>
      </c>
      <c r="B786" s="14" t="s">
        <v>84</v>
      </c>
      <c r="C786" s="15" t="s">
        <v>139</v>
      </c>
      <c r="D786" s="39">
        <v>1635.6</v>
      </c>
      <c r="E786" s="73">
        <f t="shared" si="62"/>
        <v>28742.687000000002</v>
      </c>
      <c r="F786" s="77"/>
      <c r="G786" s="75">
        <f t="shared" si="63"/>
        <v>41</v>
      </c>
      <c r="H786" s="14" t="s">
        <v>84</v>
      </c>
      <c r="I786" s="15" t="s">
        <v>139</v>
      </c>
      <c r="J786" s="39">
        <v>1894.7</v>
      </c>
      <c r="K786" s="69">
        <f t="shared" si="64"/>
        <v>28513.937000000002</v>
      </c>
      <c r="L786" s="70">
        <f t="shared" si="60"/>
        <v>259.10000000000002</v>
      </c>
      <c r="M786" s="62"/>
      <c r="N786" s="14" t="s">
        <v>81</v>
      </c>
      <c r="O786" s="15" t="s">
        <v>139</v>
      </c>
      <c r="P786" s="1">
        <v>-738.3</v>
      </c>
    </row>
    <row r="787" spans="1:16" ht="15.75" hidden="1">
      <c r="A787" s="71">
        <f t="shared" si="61"/>
        <v>42</v>
      </c>
      <c r="B787" s="14" t="s">
        <v>86</v>
      </c>
      <c r="C787" s="15" t="s">
        <v>139</v>
      </c>
      <c r="D787" s="39"/>
      <c r="E787" s="73">
        <f t="shared" si="62"/>
        <v>28742.687000000002</v>
      </c>
      <c r="F787" s="77"/>
      <c r="G787" s="75">
        <f t="shared" si="63"/>
        <v>42</v>
      </c>
      <c r="H787" s="14" t="s">
        <v>86</v>
      </c>
      <c r="I787" s="23" t="s">
        <v>139</v>
      </c>
      <c r="J787" s="39">
        <v>423.8</v>
      </c>
      <c r="K787" s="69">
        <f t="shared" si="64"/>
        <v>28937.737000000001</v>
      </c>
      <c r="L787" s="70">
        <f t="shared" si="60"/>
        <v>423.8</v>
      </c>
      <c r="M787" s="62"/>
      <c r="N787" s="14" t="s">
        <v>82</v>
      </c>
      <c r="O787" s="15" t="s">
        <v>139</v>
      </c>
      <c r="P787" s="1">
        <v>-33.5</v>
      </c>
    </row>
    <row r="788" spans="1:16" ht="15.75" hidden="1">
      <c r="A788" s="71">
        <f t="shared" si="61"/>
        <v>43</v>
      </c>
      <c r="B788" s="43" t="s">
        <v>87</v>
      </c>
      <c r="C788" s="23" t="s">
        <v>139</v>
      </c>
      <c r="D788" s="76"/>
      <c r="E788" s="73">
        <f t="shared" si="62"/>
        <v>28742.687000000002</v>
      </c>
      <c r="F788" s="77"/>
      <c r="G788" s="75">
        <f t="shared" si="63"/>
        <v>43</v>
      </c>
      <c r="H788" s="43" t="s">
        <v>87</v>
      </c>
      <c r="I788" s="23" t="s">
        <v>139</v>
      </c>
      <c r="J788" s="76"/>
      <c r="K788" s="69">
        <f t="shared" si="64"/>
        <v>28937.737000000001</v>
      </c>
      <c r="L788" s="70"/>
      <c r="M788" s="62"/>
      <c r="N788" s="14" t="s">
        <v>83</v>
      </c>
      <c r="O788" s="15" t="s">
        <v>139</v>
      </c>
      <c r="P788" s="1">
        <v>-2959.23</v>
      </c>
    </row>
    <row r="789" spans="1:16" ht="15.75" hidden="1">
      <c r="A789" s="71">
        <f t="shared" si="61"/>
        <v>44</v>
      </c>
      <c r="B789" s="14" t="s">
        <v>89</v>
      </c>
      <c r="C789" s="15" t="s">
        <v>141</v>
      </c>
      <c r="D789" s="39"/>
      <c r="E789" s="73">
        <f t="shared" si="62"/>
        <v>28742.687000000002</v>
      </c>
      <c r="F789" s="77"/>
      <c r="G789" s="75">
        <f t="shared" si="63"/>
        <v>44</v>
      </c>
      <c r="H789" s="14" t="s">
        <v>89</v>
      </c>
      <c r="I789" s="15" t="s">
        <v>141</v>
      </c>
      <c r="J789" s="39"/>
      <c r="K789" s="69">
        <f t="shared" si="64"/>
        <v>28937.737000000001</v>
      </c>
      <c r="L789" s="70"/>
      <c r="M789" s="62"/>
      <c r="N789" s="14" t="s">
        <v>84</v>
      </c>
      <c r="O789" s="15" t="s">
        <v>139</v>
      </c>
      <c r="P789" s="1">
        <v>1894.7</v>
      </c>
    </row>
    <row r="790" spans="1:16" ht="15.75" hidden="1">
      <c r="A790" s="71">
        <f t="shared" si="61"/>
        <v>45</v>
      </c>
      <c r="B790" s="14" t="s">
        <v>90</v>
      </c>
      <c r="C790" s="15" t="s">
        <v>141</v>
      </c>
      <c r="D790" s="39">
        <v>756.7</v>
      </c>
      <c r="E790" s="73">
        <f t="shared" si="62"/>
        <v>29499.386999999999</v>
      </c>
      <c r="F790" s="77"/>
      <c r="G790" s="75">
        <f t="shared" si="63"/>
        <v>45</v>
      </c>
      <c r="H790" s="14" t="s">
        <v>90</v>
      </c>
      <c r="I790" s="15" t="s">
        <v>141</v>
      </c>
      <c r="J790" s="39">
        <v>675.2</v>
      </c>
      <c r="K790" s="69">
        <f t="shared" si="64"/>
        <v>29612.937000000002</v>
      </c>
      <c r="L790" s="70">
        <f t="shared" si="60"/>
        <v>-81.5</v>
      </c>
      <c r="M790" s="62"/>
      <c r="N790" s="14" t="s">
        <v>85</v>
      </c>
      <c r="O790" s="15" t="s">
        <v>139</v>
      </c>
      <c r="P790" s="1">
        <v>-3033.9</v>
      </c>
    </row>
    <row r="791" spans="1:16" ht="15.75" hidden="1">
      <c r="A791" s="71">
        <f t="shared" si="61"/>
        <v>46</v>
      </c>
      <c r="B791" s="14" t="s">
        <v>91</v>
      </c>
      <c r="C791" s="15" t="s">
        <v>141</v>
      </c>
      <c r="D791" s="39">
        <v>19643.099999999999</v>
      </c>
      <c r="E791" s="73">
        <f t="shared" si="62"/>
        <v>49142.487000000001</v>
      </c>
      <c r="F791" s="77"/>
      <c r="G791" s="75">
        <f t="shared" si="63"/>
        <v>46</v>
      </c>
      <c r="H791" s="14" t="s">
        <v>91</v>
      </c>
      <c r="I791" s="15" t="s">
        <v>141</v>
      </c>
      <c r="J791" s="39">
        <v>16724.900000000001</v>
      </c>
      <c r="K791" s="69">
        <f t="shared" si="64"/>
        <v>46337.837</v>
      </c>
      <c r="L791" s="70">
        <f t="shared" si="60"/>
        <v>-2918.2</v>
      </c>
      <c r="M791" s="62"/>
      <c r="N791" s="14" t="s">
        <v>86</v>
      </c>
      <c r="O791" s="15" t="s">
        <v>139</v>
      </c>
      <c r="P791" s="1">
        <v>423.8</v>
      </c>
    </row>
    <row r="792" spans="1:16" ht="15.75" hidden="1">
      <c r="A792" s="71">
        <f t="shared" si="61"/>
        <v>47</v>
      </c>
      <c r="B792" s="14" t="s">
        <v>92</v>
      </c>
      <c r="C792" s="15" t="s">
        <v>141</v>
      </c>
      <c r="D792" s="76"/>
      <c r="E792" s="73">
        <f t="shared" si="62"/>
        <v>49142.487000000001</v>
      </c>
      <c r="F792" s="77"/>
      <c r="G792" s="75">
        <f t="shared" si="63"/>
        <v>47</v>
      </c>
      <c r="H792" s="14" t="s">
        <v>92</v>
      </c>
      <c r="I792" s="15" t="s">
        <v>141</v>
      </c>
      <c r="J792" s="76"/>
      <c r="K792" s="69">
        <f t="shared" si="64"/>
        <v>46337.837</v>
      </c>
      <c r="L792" s="70"/>
      <c r="M792" s="62"/>
      <c r="N792" s="43" t="s">
        <v>87</v>
      </c>
      <c r="O792" s="23" t="s">
        <v>139</v>
      </c>
      <c r="P792" s="1">
        <v>-2467.44</v>
      </c>
    </row>
    <row r="793" spans="1:16" ht="15.75" hidden="1">
      <c r="A793" s="71">
        <f t="shared" si="61"/>
        <v>48</v>
      </c>
      <c r="B793" s="51" t="s">
        <v>94</v>
      </c>
      <c r="C793" s="52" t="s">
        <v>141</v>
      </c>
      <c r="D793" s="76"/>
      <c r="E793" s="73">
        <f t="shared" si="62"/>
        <v>49142.487000000001</v>
      </c>
      <c r="F793" s="77"/>
      <c r="G793" s="75">
        <f t="shared" si="63"/>
        <v>48</v>
      </c>
      <c r="H793" s="51" t="s">
        <v>94</v>
      </c>
      <c r="I793" s="52" t="s">
        <v>141</v>
      </c>
      <c r="J793" s="76"/>
      <c r="K793" s="69">
        <f t="shared" si="64"/>
        <v>46337.837</v>
      </c>
      <c r="L793" s="70"/>
      <c r="M793" s="62"/>
      <c r="N793" s="25" t="s">
        <v>88</v>
      </c>
      <c r="O793" s="26" t="s">
        <v>141</v>
      </c>
      <c r="P793" s="1">
        <v>-7568.7</v>
      </c>
    </row>
    <row r="794" spans="1:16" ht="15.75" hidden="1">
      <c r="A794" s="71">
        <f t="shared" si="61"/>
        <v>49</v>
      </c>
      <c r="B794" s="83" t="s">
        <v>95</v>
      </c>
      <c r="C794" s="49" t="s">
        <v>106</v>
      </c>
      <c r="D794" s="39">
        <v>1396.06</v>
      </c>
      <c r="E794" s="73">
        <f t="shared" si="62"/>
        <v>50538.546999999999</v>
      </c>
      <c r="F794" s="77"/>
      <c r="G794" s="75">
        <f t="shared" si="63"/>
        <v>49</v>
      </c>
      <c r="H794" s="50" t="s">
        <v>95</v>
      </c>
      <c r="I794" s="49" t="s">
        <v>106</v>
      </c>
      <c r="J794" s="39">
        <v>1303.26</v>
      </c>
      <c r="K794" s="69">
        <f t="shared" si="64"/>
        <v>47641.097000000002</v>
      </c>
      <c r="L794" s="70">
        <f t="shared" si="60"/>
        <v>-92.8</v>
      </c>
      <c r="M794" s="62"/>
      <c r="N794" s="14" t="s">
        <v>89</v>
      </c>
      <c r="O794" s="15" t="s">
        <v>141</v>
      </c>
      <c r="P794" s="1">
        <v>-711</v>
      </c>
    </row>
    <row r="795" spans="1:16" ht="15.75" hidden="1">
      <c r="A795" s="71">
        <f t="shared" si="61"/>
        <v>50</v>
      </c>
      <c r="B795" s="84" t="s">
        <v>96</v>
      </c>
      <c r="C795" s="15" t="s">
        <v>106</v>
      </c>
      <c r="D795" s="39">
        <v>7706.28</v>
      </c>
      <c r="E795" s="73">
        <f t="shared" si="62"/>
        <v>58244.826999999997</v>
      </c>
      <c r="F795" s="77"/>
      <c r="G795" s="75">
        <f t="shared" si="63"/>
        <v>50</v>
      </c>
      <c r="H795" s="14" t="s">
        <v>96</v>
      </c>
      <c r="I795" s="15" t="s">
        <v>106</v>
      </c>
      <c r="J795" s="39">
        <v>8191.18</v>
      </c>
      <c r="K795" s="69">
        <f t="shared" si="64"/>
        <v>55832.277000000002</v>
      </c>
      <c r="L795" s="70">
        <f t="shared" si="60"/>
        <v>484.900000000001</v>
      </c>
      <c r="M795" s="62">
        <f>J798-D798</f>
        <v>-3077.24999999998</v>
      </c>
      <c r="N795" s="14" t="s">
        <v>90</v>
      </c>
      <c r="O795" s="15" t="s">
        <v>141</v>
      </c>
      <c r="P795" s="1">
        <v>675.2</v>
      </c>
    </row>
    <row r="796" spans="1:16" ht="15.75" hidden="1">
      <c r="A796" s="71">
        <f t="shared" si="61"/>
        <v>51</v>
      </c>
      <c r="B796" s="85" t="s">
        <v>116</v>
      </c>
      <c r="C796" s="23" t="s">
        <v>106</v>
      </c>
      <c r="D796" s="39">
        <v>664.7</v>
      </c>
      <c r="E796" s="73">
        <f t="shared" si="62"/>
        <v>58909.527000000002</v>
      </c>
      <c r="F796" s="77"/>
      <c r="G796" s="75">
        <f t="shared" si="63"/>
        <v>51</v>
      </c>
      <c r="H796" s="22" t="s">
        <v>116</v>
      </c>
      <c r="I796" s="23" t="s">
        <v>106</v>
      </c>
      <c r="J796" s="39"/>
      <c r="K796" s="69">
        <f t="shared" si="64"/>
        <v>55832.277000000002</v>
      </c>
      <c r="L796" s="70">
        <f t="shared" si="60"/>
        <v>-664.7</v>
      </c>
      <c r="M796" s="86"/>
      <c r="N796" s="14" t="s">
        <v>91</v>
      </c>
      <c r="O796" s="15" t="s">
        <v>141</v>
      </c>
      <c r="P796" s="1">
        <v>16724.900000000001</v>
      </c>
    </row>
    <row r="797" spans="1:16" ht="15.75" hidden="1">
      <c r="A797" s="71">
        <f t="shared" si="61"/>
        <v>52</v>
      </c>
      <c r="B797" s="87" t="s">
        <v>120</v>
      </c>
      <c r="C797" s="23" t="s">
        <v>106</v>
      </c>
      <c r="D797" s="88"/>
      <c r="E797" s="73">
        <f t="shared" si="62"/>
        <v>58909.527000000002</v>
      </c>
      <c r="F797" s="89"/>
      <c r="G797" s="75">
        <f t="shared" si="63"/>
        <v>52</v>
      </c>
      <c r="H797" s="90" t="s">
        <v>120</v>
      </c>
      <c r="I797" s="23" t="s">
        <v>106</v>
      </c>
      <c r="J797" s="88"/>
      <c r="K797" s="69">
        <f t="shared" si="64"/>
        <v>55832.277000000002</v>
      </c>
      <c r="L797" s="70"/>
      <c r="M797" s="86"/>
      <c r="N797" s="14" t="s">
        <v>92</v>
      </c>
      <c r="O797" s="15" t="s">
        <v>141</v>
      </c>
      <c r="P797" s="1">
        <v>-2437.75</v>
      </c>
    </row>
    <row r="798" spans="1:16" ht="15.75" hidden="1">
      <c r="A798" s="8"/>
      <c r="B798" s="91" t="s">
        <v>102</v>
      </c>
      <c r="C798" s="92"/>
      <c r="D798" s="93">
        <f>SUM(D746:D797)</f>
        <v>58909.527000000002</v>
      </c>
      <c r="E798" s="59">
        <f>E797</f>
        <v>58909.527000000002</v>
      </c>
      <c r="F798" s="94"/>
      <c r="G798" s="95"/>
      <c r="H798" s="91" t="s">
        <v>102</v>
      </c>
      <c r="I798" s="60"/>
      <c r="J798" s="93">
        <f>SUM(J746:J797)</f>
        <v>55832.277000000002</v>
      </c>
      <c r="K798" s="59">
        <f>K797</f>
        <v>55832.277000000002</v>
      </c>
      <c r="L798" s="59">
        <f>K798-E798</f>
        <v>-3077.24999999998</v>
      </c>
      <c r="M798" s="62">
        <f>SUM(J746:J797)</f>
        <v>55832.277000000002</v>
      </c>
      <c r="N798" s="14" t="s">
        <v>93</v>
      </c>
      <c r="O798" s="15" t="s">
        <v>141</v>
      </c>
      <c r="P798" s="1">
        <v>-5961.5</v>
      </c>
    </row>
    <row r="799" spans="1:16" ht="15.75" hidden="1">
      <c r="M799" s="62">
        <f>SUM(D746:D797)</f>
        <v>58909.527000000002</v>
      </c>
      <c r="N799" s="51" t="s">
        <v>94</v>
      </c>
      <c r="O799" s="52" t="s">
        <v>141</v>
      </c>
      <c r="P799" s="1">
        <v>-8066.83</v>
      </c>
    </row>
    <row r="800" spans="1:16" ht="15.75" hidden="1">
      <c r="M800" s="62">
        <f>M798-M799</f>
        <v>-3077.24999999998</v>
      </c>
      <c r="N800" s="50" t="s">
        <v>95</v>
      </c>
      <c r="O800" s="49" t="s">
        <v>106</v>
      </c>
      <c r="P800" s="1">
        <v>1303.26</v>
      </c>
    </row>
    <row r="801" spans="1:18" ht="15.75">
      <c r="M801" s="62"/>
      <c r="N801" s="134"/>
      <c r="O801" s="134"/>
      <c r="P801" s="135"/>
      <c r="Q801" s="136"/>
      <c r="R801" s="136"/>
    </row>
    <row r="802" spans="1:18" ht="15.75">
      <c r="A802" s="127" t="s">
        <v>158</v>
      </c>
      <c r="B802" s="128"/>
      <c r="C802" s="128"/>
      <c r="D802" s="128"/>
      <c r="E802" s="129"/>
      <c r="F802" s="12"/>
      <c r="G802" s="127" t="s">
        <v>159</v>
      </c>
      <c r="H802" s="128"/>
      <c r="I802" s="128"/>
      <c r="J802" s="128"/>
      <c r="K802" s="129"/>
      <c r="L802" s="130" t="s">
        <v>160</v>
      </c>
      <c r="M802" s="8"/>
      <c r="N802" s="137"/>
      <c r="O802" s="137"/>
      <c r="P802" s="135"/>
      <c r="Q802" s="136"/>
      <c r="R802" s="136"/>
    </row>
    <row r="803" spans="1:18" ht="47.25">
      <c r="A803" s="18" t="s">
        <v>112</v>
      </c>
      <c r="B803" s="19" t="s">
        <v>0</v>
      </c>
      <c r="C803" s="20" t="s">
        <v>113</v>
      </c>
      <c r="D803" s="20" t="s">
        <v>114</v>
      </c>
      <c r="E803" s="20" t="s">
        <v>115</v>
      </c>
      <c r="F803" s="21"/>
      <c r="G803" s="12" t="s">
        <v>112</v>
      </c>
      <c r="H803" s="12" t="s">
        <v>0</v>
      </c>
      <c r="I803" s="12" t="s">
        <v>113</v>
      </c>
      <c r="J803" s="12" t="s">
        <v>114</v>
      </c>
      <c r="K803" s="12" t="s">
        <v>115</v>
      </c>
      <c r="L803" s="131"/>
      <c r="M803" s="8"/>
      <c r="N803" s="134"/>
      <c r="O803" s="137"/>
      <c r="P803" s="135"/>
      <c r="Q803" s="136"/>
      <c r="R803" s="136"/>
    </row>
    <row r="804" spans="1:18" ht="16.5" thickBot="1">
      <c r="A804" s="31">
        <v>1</v>
      </c>
      <c r="B804" s="96" t="s">
        <v>1</v>
      </c>
      <c r="C804" s="26" t="s">
        <v>119</v>
      </c>
      <c r="D804" s="30">
        <v>-149.27000000000001</v>
      </c>
      <c r="E804" s="30"/>
      <c r="F804" s="97"/>
      <c r="G804" s="98">
        <v>1</v>
      </c>
      <c r="H804" s="25" t="s">
        <v>1</v>
      </c>
      <c r="I804" s="26" t="s">
        <v>119</v>
      </c>
      <c r="J804" s="30"/>
      <c r="K804" s="30">
        <f>J804</f>
        <v>0</v>
      </c>
      <c r="L804" s="33">
        <f t="shared" ref="L804:L805" si="65">J804-D804</f>
        <v>149.27000000000001</v>
      </c>
      <c r="M804" s="8"/>
      <c r="N804" s="138"/>
      <c r="O804" s="137"/>
      <c r="P804" s="135"/>
      <c r="Q804" s="136"/>
      <c r="R804" s="136"/>
    </row>
    <row r="805" spans="1:18" ht="15.75">
      <c r="A805" s="38">
        <v>2</v>
      </c>
      <c r="B805" s="99" t="s">
        <v>2</v>
      </c>
      <c r="C805" s="15" t="s">
        <v>119</v>
      </c>
      <c r="D805" s="33">
        <v>-3023.9</v>
      </c>
      <c r="E805" s="33">
        <f t="shared" ref="E805:E836" si="66">E804+D805</f>
        <v>-3023.9</v>
      </c>
      <c r="F805" s="100"/>
      <c r="G805" s="28">
        <v>2</v>
      </c>
      <c r="H805" s="97" t="s">
        <v>2</v>
      </c>
      <c r="I805" s="15" t="s">
        <v>119</v>
      </c>
      <c r="J805" s="33">
        <v>-3070.5</v>
      </c>
      <c r="K805" s="33">
        <f t="shared" ref="K805:K836" si="67">K804+J805</f>
        <v>-3070.5</v>
      </c>
      <c r="L805" s="33">
        <f t="shared" si="65"/>
        <v>-46.599999999999902</v>
      </c>
      <c r="N805" s="136"/>
      <c r="O805" s="136"/>
      <c r="P805" s="136"/>
      <c r="Q805" s="136"/>
      <c r="R805" s="136"/>
    </row>
    <row r="806" spans="1:18" ht="15.75">
      <c r="A806" s="38">
        <v>3</v>
      </c>
      <c r="B806" s="101" t="s">
        <v>3</v>
      </c>
      <c r="C806" s="15" t="s">
        <v>119</v>
      </c>
      <c r="D806" s="33">
        <v>-776.85</v>
      </c>
      <c r="E806" s="33">
        <f t="shared" si="66"/>
        <v>-3800.75</v>
      </c>
      <c r="F806" s="100"/>
      <c r="G806" s="28">
        <v>3</v>
      </c>
      <c r="H806" s="100" t="s">
        <v>3</v>
      </c>
      <c r="I806" s="15" t="s">
        <v>119</v>
      </c>
      <c r="J806" s="33">
        <v>-737.05</v>
      </c>
      <c r="K806" s="33">
        <f t="shared" si="67"/>
        <v>-3807.55</v>
      </c>
      <c r="L806" s="33">
        <f t="shared" ref="L806:L868" si="68">J806-D806</f>
        <v>39.800000000000097</v>
      </c>
      <c r="N806" s="136"/>
      <c r="O806" s="136"/>
      <c r="P806" s="136"/>
      <c r="Q806" s="136"/>
      <c r="R806" s="136"/>
    </row>
    <row r="807" spans="1:18" ht="15.75">
      <c r="A807" s="38">
        <v>4</v>
      </c>
      <c r="B807" s="101" t="s">
        <v>4</v>
      </c>
      <c r="C807" s="15" t="s">
        <v>119</v>
      </c>
      <c r="D807" s="33">
        <v>-44142.46</v>
      </c>
      <c r="E807" s="33">
        <f t="shared" si="66"/>
        <v>-47943.21</v>
      </c>
      <c r="F807" s="100"/>
      <c r="G807" s="28">
        <v>4</v>
      </c>
      <c r="H807" s="100" t="s">
        <v>4</v>
      </c>
      <c r="I807" s="15" t="s">
        <v>119</v>
      </c>
      <c r="J807" s="33">
        <v>-44743.16</v>
      </c>
      <c r="K807" s="33">
        <f t="shared" si="67"/>
        <v>-48550.71</v>
      </c>
      <c r="L807" s="33">
        <f t="shared" si="68"/>
        <v>-600.70000000000402</v>
      </c>
      <c r="N807" s="136"/>
      <c r="O807" s="136"/>
      <c r="P807" s="136"/>
      <c r="Q807" s="136"/>
      <c r="R807" s="136"/>
    </row>
    <row r="808" spans="1:18" ht="15.75">
      <c r="A808" s="38">
        <v>5</v>
      </c>
      <c r="B808" s="101" t="s">
        <v>5</v>
      </c>
      <c r="C808" s="15" t="s">
        <v>119</v>
      </c>
      <c r="D808" s="33"/>
      <c r="E808" s="33">
        <f t="shared" si="66"/>
        <v>-47943.21</v>
      </c>
      <c r="F808" s="100"/>
      <c r="G808" s="28">
        <v>5</v>
      </c>
      <c r="H808" s="100" t="s">
        <v>5</v>
      </c>
      <c r="I808" s="15" t="s">
        <v>119</v>
      </c>
      <c r="J808" s="33"/>
      <c r="K808" s="33">
        <f t="shared" si="67"/>
        <v>-48550.71</v>
      </c>
      <c r="L808" s="33"/>
      <c r="N808" s="136"/>
      <c r="O808" s="136"/>
      <c r="P808" s="136"/>
      <c r="Q808" s="136"/>
      <c r="R808" s="136"/>
    </row>
    <row r="809" spans="1:18" ht="15.75">
      <c r="A809" s="38">
        <v>6</v>
      </c>
      <c r="B809" s="101" t="s">
        <v>6</v>
      </c>
      <c r="C809" s="15" t="s">
        <v>119</v>
      </c>
      <c r="D809" s="33">
        <v>-14797.2</v>
      </c>
      <c r="E809" s="33">
        <f t="shared" si="66"/>
        <v>-62740.41</v>
      </c>
      <c r="F809" s="100"/>
      <c r="G809" s="28">
        <v>6</v>
      </c>
      <c r="H809" s="100" t="s">
        <v>6</v>
      </c>
      <c r="I809" s="15" t="s">
        <v>119</v>
      </c>
      <c r="J809" s="33">
        <v>-14484.9</v>
      </c>
      <c r="K809" s="33">
        <f t="shared" si="67"/>
        <v>-63035.61</v>
      </c>
      <c r="L809" s="33">
        <f t="shared" si="68"/>
        <v>312.30000000000098</v>
      </c>
      <c r="N809" s="136"/>
      <c r="O809" s="136"/>
      <c r="P809" s="136"/>
      <c r="Q809" s="136"/>
      <c r="R809" s="136"/>
    </row>
    <row r="810" spans="1:18" ht="15.75">
      <c r="A810" s="38">
        <v>7</v>
      </c>
      <c r="B810" s="101" t="s">
        <v>7</v>
      </c>
      <c r="C810" s="15" t="s">
        <v>119</v>
      </c>
      <c r="D810" s="33">
        <v>-4152.6099999999997</v>
      </c>
      <c r="E810" s="33">
        <f t="shared" si="66"/>
        <v>-66893.02</v>
      </c>
      <c r="F810" s="100"/>
      <c r="G810" s="28">
        <v>7</v>
      </c>
      <c r="H810" s="100" t="s">
        <v>7</v>
      </c>
      <c r="I810" s="15" t="s">
        <v>119</v>
      </c>
      <c r="J810" s="33">
        <v>-4120.6099999999997</v>
      </c>
      <c r="K810" s="33">
        <f t="shared" si="67"/>
        <v>-67156.22</v>
      </c>
      <c r="L810" s="33">
        <f t="shared" si="68"/>
        <v>32</v>
      </c>
      <c r="N810" s="136"/>
      <c r="O810" s="136"/>
      <c r="P810" s="136"/>
      <c r="Q810" s="136"/>
      <c r="R810" s="136"/>
    </row>
    <row r="811" spans="1:18" ht="15.75">
      <c r="A811" s="38">
        <v>8</v>
      </c>
      <c r="B811" s="101" t="s">
        <v>8</v>
      </c>
      <c r="C811" s="15" t="s">
        <v>119</v>
      </c>
      <c r="D811" s="33">
        <v>-890.8</v>
      </c>
      <c r="E811" s="33">
        <f t="shared" si="66"/>
        <v>-67783.820000000007</v>
      </c>
      <c r="F811" s="100"/>
      <c r="G811" s="28">
        <v>8</v>
      </c>
      <c r="H811" s="100" t="s">
        <v>8</v>
      </c>
      <c r="I811" s="15" t="s">
        <v>119</v>
      </c>
      <c r="J811" s="33">
        <v>-866.5</v>
      </c>
      <c r="K811" s="33">
        <f t="shared" si="67"/>
        <v>-68022.720000000001</v>
      </c>
      <c r="L811" s="33">
        <f t="shared" si="68"/>
        <v>24.3</v>
      </c>
    </row>
    <row r="812" spans="1:18" ht="15.75">
      <c r="A812" s="38">
        <v>9</v>
      </c>
      <c r="B812" s="101" t="s">
        <v>9</v>
      </c>
      <c r="C812" s="15" t="s">
        <v>119</v>
      </c>
      <c r="D812" s="33">
        <v>-6698.5</v>
      </c>
      <c r="E812" s="33">
        <f t="shared" si="66"/>
        <v>-74482.320000000007</v>
      </c>
      <c r="F812" s="100"/>
      <c r="G812" s="28">
        <v>9</v>
      </c>
      <c r="H812" s="100" t="s">
        <v>9</v>
      </c>
      <c r="I812" s="15" t="s">
        <v>119</v>
      </c>
      <c r="J812" s="33">
        <v>-6752.9</v>
      </c>
      <c r="K812" s="33">
        <f t="shared" si="67"/>
        <v>-74775.62</v>
      </c>
      <c r="L812" s="33">
        <f t="shared" si="68"/>
        <v>-54.399999999999601</v>
      </c>
    </row>
    <row r="813" spans="1:18" ht="15.75">
      <c r="A813" s="38">
        <v>10</v>
      </c>
      <c r="B813" s="101" t="s">
        <v>10</v>
      </c>
      <c r="C813" s="15" t="s">
        <v>119</v>
      </c>
      <c r="D813" s="33"/>
      <c r="E813" s="33">
        <f t="shared" si="66"/>
        <v>-74482.320000000007</v>
      </c>
      <c r="F813" s="100"/>
      <c r="G813" s="28">
        <v>10</v>
      </c>
      <c r="H813" s="100" t="s">
        <v>10</v>
      </c>
      <c r="I813" s="15" t="s">
        <v>119</v>
      </c>
      <c r="J813" s="33"/>
      <c r="K813" s="33">
        <f t="shared" si="67"/>
        <v>-74775.62</v>
      </c>
      <c r="L813" s="33"/>
    </row>
    <row r="814" spans="1:18" ht="15.75">
      <c r="A814" s="38">
        <f>1+A813</f>
        <v>11</v>
      </c>
      <c r="B814" s="101" t="s">
        <v>11</v>
      </c>
      <c r="C814" s="15" t="s">
        <v>119</v>
      </c>
      <c r="D814" s="33">
        <v>-66.930000000000007</v>
      </c>
      <c r="E814" s="33">
        <f t="shared" si="66"/>
        <v>-74549.25</v>
      </c>
      <c r="F814" s="100"/>
      <c r="G814" s="28">
        <f>1+G813</f>
        <v>11</v>
      </c>
      <c r="H814" s="100" t="s">
        <v>11</v>
      </c>
      <c r="I814" s="15" t="s">
        <v>119</v>
      </c>
      <c r="J814" s="33"/>
      <c r="K814" s="33">
        <f t="shared" si="67"/>
        <v>-74775.62</v>
      </c>
      <c r="L814" s="33">
        <f t="shared" si="68"/>
        <v>66.930000000000007</v>
      </c>
    </row>
    <row r="815" spans="1:18" ht="15.75">
      <c r="A815" s="38">
        <f t="shared" ref="A815:A878" si="69">1+A814</f>
        <v>12</v>
      </c>
      <c r="B815" s="101" t="s">
        <v>12</v>
      </c>
      <c r="C815" s="23" t="s">
        <v>119</v>
      </c>
      <c r="D815" s="33">
        <v>-39746.769999999997</v>
      </c>
      <c r="E815" s="33">
        <f t="shared" si="66"/>
        <v>-114296.02</v>
      </c>
      <c r="F815" s="100"/>
      <c r="G815" s="28">
        <f t="shared" ref="G815:G878" si="70">1+G814</f>
        <v>12</v>
      </c>
      <c r="H815" s="100" t="s">
        <v>12</v>
      </c>
      <c r="I815" s="23" t="s">
        <v>119</v>
      </c>
      <c r="J815" s="33">
        <v>-39846.269999999997</v>
      </c>
      <c r="K815" s="33">
        <f t="shared" si="67"/>
        <v>-114621.89</v>
      </c>
      <c r="L815" s="33">
        <f t="shared" si="68"/>
        <v>-99.5</v>
      </c>
    </row>
    <row r="816" spans="1:18" ht="15.75">
      <c r="A816" s="38">
        <f t="shared" si="69"/>
        <v>13</v>
      </c>
      <c r="B816" s="101" t="s">
        <v>13</v>
      </c>
      <c r="C816" s="26" t="s">
        <v>123</v>
      </c>
      <c r="D816" s="33">
        <v>-21563.73</v>
      </c>
      <c r="E816" s="33">
        <f t="shared" si="66"/>
        <v>-135859.75</v>
      </c>
      <c r="F816" s="100"/>
      <c r="G816" s="28">
        <f t="shared" si="70"/>
        <v>13</v>
      </c>
      <c r="H816" s="100" t="s">
        <v>13</v>
      </c>
      <c r="I816" s="26" t="s">
        <v>123</v>
      </c>
      <c r="J816" s="33">
        <v>-21542.33</v>
      </c>
      <c r="K816" s="33">
        <f t="shared" si="67"/>
        <v>-136164.22</v>
      </c>
      <c r="L816" s="33">
        <f t="shared" si="68"/>
        <v>21.399999999997799</v>
      </c>
    </row>
    <row r="817" spans="1:12" ht="15.75">
      <c r="A817" s="38">
        <f t="shared" si="69"/>
        <v>14</v>
      </c>
      <c r="B817" s="101" t="s">
        <v>14</v>
      </c>
      <c r="C817" s="15" t="s">
        <v>123</v>
      </c>
      <c r="D817" s="33">
        <v>-9529.27</v>
      </c>
      <c r="E817" s="33">
        <f t="shared" si="66"/>
        <v>-145389.01999999999</v>
      </c>
      <c r="F817" s="100"/>
      <c r="G817" s="28">
        <f t="shared" si="70"/>
        <v>14</v>
      </c>
      <c r="H817" s="100" t="s">
        <v>14</v>
      </c>
      <c r="I817" s="15" t="s">
        <v>123</v>
      </c>
      <c r="J817" s="33">
        <v>-9499.77</v>
      </c>
      <c r="K817" s="33">
        <f t="shared" si="67"/>
        <v>-145663.99</v>
      </c>
      <c r="L817" s="33">
        <f t="shared" si="68"/>
        <v>29.5</v>
      </c>
    </row>
    <row r="818" spans="1:12" ht="15.75">
      <c r="A818" s="38">
        <f t="shared" si="69"/>
        <v>15</v>
      </c>
      <c r="B818" s="101" t="s">
        <v>15</v>
      </c>
      <c r="C818" s="15" t="s">
        <v>123</v>
      </c>
      <c r="D818" s="33">
        <v>-27274.18</v>
      </c>
      <c r="E818" s="33">
        <f t="shared" si="66"/>
        <v>-172663.2</v>
      </c>
      <c r="F818" s="100"/>
      <c r="G818" s="28">
        <f t="shared" si="70"/>
        <v>15</v>
      </c>
      <c r="H818" s="100" t="s">
        <v>15</v>
      </c>
      <c r="I818" s="15" t="s">
        <v>123</v>
      </c>
      <c r="J818" s="33">
        <v>-27375.58</v>
      </c>
      <c r="K818" s="33">
        <f t="shared" si="67"/>
        <v>-173039.57</v>
      </c>
      <c r="L818" s="33">
        <f t="shared" si="68"/>
        <v>-101.400000000001</v>
      </c>
    </row>
    <row r="819" spans="1:12" ht="15.75">
      <c r="A819" s="38">
        <f t="shared" si="69"/>
        <v>16</v>
      </c>
      <c r="B819" s="101" t="s">
        <v>16</v>
      </c>
      <c r="C819" s="15" t="s">
        <v>123</v>
      </c>
      <c r="D819" s="33">
        <v>-18632.259999999998</v>
      </c>
      <c r="E819" s="33">
        <f t="shared" si="66"/>
        <v>-191295.46</v>
      </c>
      <c r="F819" s="100"/>
      <c r="G819" s="28">
        <f t="shared" si="70"/>
        <v>16</v>
      </c>
      <c r="H819" s="100" t="s">
        <v>16</v>
      </c>
      <c r="I819" s="15" t="s">
        <v>123</v>
      </c>
      <c r="J819" s="33">
        <v>-18838.63</v>
      </c>
      <c r="K819" s="33">
        <f t="shared" si="67"/>
        <v>-191878.2</v>
      </c>
      <c r="L819" s="33">
        <f t="shared" si="68"/>
        <v>-206.37000000000299</v>
      </c>
    </row>
    <row r="820" spans="1:12" ht="15.75">
      <c r="A820" s="38">
        <f t="shared" si="69"/>
        <v>17</v>
      </c>
      <c r="B820" s="101" t="s">
        <v>17</v>
      </c>
      <c r="C820" s="15" t="s">
        <v>123</v>
      </c>
      <c r="D820" s="33"/>
      <c r="E820" s="33">
        <f t="shared" si="66"/>
        <v>-191295.46</v>
      </c>
      <c r="F820" s="100"/>
      <c r="G820" s="28">
        <f t="shared" si="70"/>
        <v>17</v>
      </c>
      <c r="H820" s="100" t="s">
        <v>17</v>
      </c>
      <c r="I820" s="15" t="s">
        <v>123</v>
      </c>
      <c r="J820" s="33"/>
      <c r="K820" s="33">
        <f t="shared" si="67"/>
        <v>-191878.2</v>
      </c>
      <c r="L820" s="33"/>
    </row>
    <row r="821" spans="1:12" ht="15.75">
      <c r="A821" s="38">
        <f t="shared" si="69"/>
        <v>18</v>
      </c>
      <c r="B821" s="101" t="s">
        <v>18</v>
      </c>
      <c r="C821" s="15" t="s">
        <v>123</v>
      </c>
      <c r="D821" s="33">
        <v>-114167.8</v>
      </c>
      <c r="E821" s="33">
        <f t="shared" si="66"/>
        <v>-305463.26</v>
      </c>
      <c r="F821" s="100"/>
      <c r="G821" s="28">
        <f t="shared" si="70"/>
        <v>18</v>
      </c>
      <c r="H821" s="100" t="s">
        <v>18</v>
      </c>
      <c r="I821" s="15" t="s">
        <v>123</v>
      </c>
      <c r="J821" s="33">
        <v>-114167.8</v>
      </c>
      <c r="K821" s="33">
        <f t="shared" si="67"/>
        <v>-306046</v>
      </c>
      <c r="L821" s="33"/>
    </row>
    <row r="822" spans="1:12" ht="15.75">
      <c r="A822" s="38">
        <f t="shared" si="69"/>
        <v>19</v>
      </c>
      <c r="B822" s="101" t="s">
        <v>19</v>
      </c>
      <c r="C822" s="46" t="s">
        <v>123</v>
      </c>
      <c r="D822" s="33">
        <v>-22154.959999999999</v>
      </c>
      <c r="E822" s="33">
        <f t="shared" si="66"/>
        <v>-327618.21999999997</v>
      </c>
      <c r="F822" s="100"/>
      <c r="G822" s="28">
        <f t="shared" si="70"/>
        <v>19</v>
      </c>
      <c r="H822" s="100" t="s">
        <v>19</v>
      </c>
      <c r="I822" s="46" t="s">
        <v>123</v>
      </c>
      <c r="J822" s="33">
        <v>-20890.560000000001</v>
      </c>
      <c r="K822" s="33">
        <f t="shared" si="67"/>
        <v>-326936.56</v>
      </c>
      <c r="L822" s="33">
        <f t="shared" si="68"/>
        <v>1264.4000000000001</v>
      </c>
    </row>
    <row r="823" spans="1:12" ht="15.75">
      <c r="A823" s="38">
        <f t="shared" si="69"/>
        <v>20</v>
      </c>
      <c r="B823" s="101" t="s">
        <v>20</v>
      </c>
      <c r="C823" s="46" t="s">
        <v>123</v>
      </c>
      <c r="D823" s="33">
        <v>-10989.38</v>
      </c>
      <c r="E823" s="33">
        <f t="shared" si="66"/>
        <v>-338607.6</v>
      </c>
      <c r="F823" s="100"/>
      <c r="G823" s="28">
        <f t="shared" si="70"/>
        <v>20</v>
      </c>
      <c r="H823" s="100" t="s">
        <v>20</v>
      </c>
      <c r="I823" s="15" t="s">
        <v>123</v>
      </c>
      <c r="J823" s="33">
        <v>-10935.68</v>
      </c>
      <c r="K823" s="33">
        <f t="shared" si="67"/>
        <v>-337872.24</v>
      </c>
      <c r="L823" s="33">
        <f t="shared" si="68"/>
        <v>53.699999999998902</v>
      </c>
    </row>
    <row r="824" spans="1:12" ht="15.75">
      <c r="A824" s="38">
        <f t="shared" si="69"/>
        <v>21</v>
      </c>
      <c r="B824" s="101" t="s">
        <v>21</v>
      </c>
      <c r="C824" s="15" t="s">
        <v>123</v>
      </c>
      <c r="D824" s="33">
        <v>-20231.77</v>
      </c>
      <c r="E824" s="33">
        <f t="shared" si="66"/>
        <v>-358839.37</v>
      </c>
      <c r="F824" s="100"/>
      <c r="G824" s="28">
        <f t="shared" si="70"/>
        <v>21</v>
      </c>
      <c r="H824" s="100" t="s">
        <v>21</v>
      </c>
      <c r="I824" s="15" t="s">
        <v>123</v>
      </c>
      <c r="J824" s="33">
        <v>-20070.87</v>
      </c>
      <c r="K824" s="33">
        <f t="shared" si="67"/>
        <v>-357943.11</v>
      </c>
      <c r="L824" s="33">
        <f t="shared" si="68"/>
        <v>160.900000000001</v>
      </c>
    </row>
    <row r="825" spans="1:12" ht="15.75">
      <c r="A825" s="38">
        <f t="shared" si="69"/>
        <v>22</v>
      </c>
      <c r="B825" s="101" t="s">
        <v>22</v>
      </c>
      <c r="C825" s="23" t="s">
        <v>123</v>
      </c>
      <c r="D825" s="33">
        <v>-336.54</v>
      </c>
      <c r="E825" s="33">
        <f t="shared" si="66"/>
        <v>-359175.91</v>
      </c>
      <c r="F825" s="100"/>
      <c r="G825" s="28">
        <f t="shared" si="70"/>
        <v>22</v>
      </c>
      <c r="H825" s="100" t="s">
        <v>22</v>
      </c>
      <c r="I825" s="23" t="s">
        <v>123</v>
      </c>
      <c r="J825" s="33">
        <v>-447.04</v>
      </c>
      <c r="K825" s="33">
        <f t="shared" si="67"/>
        <v>-358390.15</v>
      </c>
      <c r="L825" s="33">
        <f t="shared" si="68"/>
        <v>-110.5</v>
      </c>
    </row>
    <row r="826" spans="1:12" ht="15.75">
      <c r="A826" s="38">
        <f t="shared" si="69"/>
        <v>23</v>
      </c>
      <c r="B826" s="101" t="s">
        <v>23</v>
      </c>
      <c r="C826" s="26" t="s">
        <v>126</v>
      </c>
      <c r="D826" s="33">
        <v>-30218.17</v>
      </c>
      <c r="E826" s="33">
        <f t="shared" si="66"/>
        <v>-389394.08</v>
      </c>
      <c r="F826" s="100"/>
      <c r="G826" s="28">
        <f t="shared" si="70"/>
        <v>23</v>
      </c>
      <c r="H826" s="100" t="s">
        <v>23</v>
      </c>
      <c r="I826" s="26" t="s">
        <v>126</v>
      </c>
      <c r="J826" s="33">
        <v>-27304.27</v>
      </c>
      <c r="K826" s="33">
        <f t="shared" si="67"/>
        <v>-385694.42</v>
      </c>
      <c r="L826" s="33">
        <f t="shared" si="68"/>
        <v>2913.9</v>
      </c>
    </row>
    <row r="827" spans="1:12" ht="15.75">
      <c r="A827" s="38">
        <f t="shared" si="69"/>
        <v>24</v>
      </c>
      <c r="B827" s="101" t="s">
        <v>24</v>
      </c>
      <c r="C827" s="15" t="s">
        <v>126</v>
      </c>
      <c r="D827" s="33">
        <v>-320.11</v>
      </c>
      <c r="E827" s="33">
        <f t="shared" si="66"/>
        <v>-389714.19</v>
      </c>
      <c r="F827" s="100"/>
      <c r="G827" s="28">
        <f t="shared" si="70"/>
        <v>24</v>
      </c>
      <c r="H827" s="100" t="s">
        <v>24</v>
      </c>
      <c r="I827" s="15" t="s">
        <v>126</v>
      </c>
      <c r="J827" s="33">
        <v>-332.61</v>
      </c>
      <c r="K827" s="33">
        <f t="shared" si="67"/>
        <v>-386027.03</v>
      </c>
      <c r="L827" s="33">
        <f t="shared" si="68"/>
        <v>-12.5</v>
      </c>
    </row>
    <row r="828" spans="1:12" ht="15.75">
      <c r="A828" s="38">
        <f t="shared" si="69"/>
        <v>25</v>
      </c>
      <c r="B828" s="101" t="s">
        <v>25</v>
      </c>
      <c r="C828" s="15" t="s">
        <v>126</v>
      </c>
      <c r="D828" s="33"/>
      <c r="E828" s="33">
        <f t="shared" si="66"/>
        <v>-389714.19</v>
      </c>
      <c r="F828" s="100"/>
      <c r="G828" s="28">
        <f t="shared" si="70"/>
        <v>25</v>
      </c>
      <c r="H828" s="100" t="s">
        <v>25</v>
      </c>
      <c r="I828" s="15" t="s">
        <v>126</v>
      </c>
      <c r="J828" s="33"/>
      <c r="K828" s="33">
        <f t="shared" si="67"/>
        <v>-386027.03</v>
      </c>
      <c r="L828" s="33"/>
    </row>
    <row r="829" spans="1:12" ht="15.75">
      <c r="A829" s="38">
        <f t="shared" si="69"/>
        <v>26</v>
      </c>
      <c r="B829" s="101" t="s">
        <v>26</v>
      </c>
      <c r="C829" s="15" t="s">
        <v>126</v>
      </c>
      <c r="D829" s="33"/>
      <c r="E829" s="33">
        <f t="shared" si="66"/>
        <v>-389714.19</v>
      </c>
      <c r="F829" s="100"/>
      <c r="G829" s="28">
        <f t="shared" si="70"/>
        <v>26</v>
      </c>
      <c r="H829" s="100" t="s">
        <v>26</v>
      </c>
      <c r="I829" s="15" t="s">
        <v>126</v>
      </c>
      <c r="J829" s="33"/>
      <c r="K829" s="33">
        <f t="shared" si="67"/>
        <v>-386027.03</v>
      </c>
      <c r="L829" s="33"/>
    </row>
    <row r="830" spans="1:12" ht="15.75">
      <c r="A830" s="38">
        <f t="shared" si="69"/>
        <v>27</v>
      </c>
      <c r="B830" s="101" t="s">
        <v>27</v>
      </c>
      <c r="C830" s="15" t="s">
        <v>126</v>
      </c>
      <c r="D830" s="33">
        <v>-2387.42</v>
      </c>
      <c r="E830" s="33">
        <f t="shared" si="66"/>
        <v>-392101.61</v>
      </c>
      <c r="F830" s="100"/>
      <c r="G830" s="28">
        <f t="shared" si="70"/>
        <v>27</v>
      </c>
      <c r="H830" s="100" t="s">
        <v>27</v>
      </c>
      <c r="I830" s="15" t="s">
        <v>126</v>
      </c>
      <c r="J830" s="33">
        <v>-2928.02</v>
      </c>
      <c r="K830" s="33">
        <f t="shared" si="67"/>
        <v>-388955.05</v>
      </c>
      <c r="L830" s="33">
        <f t="shared" si="68"/>
        <v>-540.6</v>
      </c>
    </row>
    <row r="831" spans="1:12" ht="15.75">
      <c r="A831" s="38">
        <f t="shared" si="69"/>
        <v>28</v>
      </c>
      <c r="B831" s="101" t="s">
        <v>28</v>
      </c>
      <c r="C831" s="15" t="s">
        <v>126</v>
      </c>
      <c r="D831" s="33">
        <v>-3645.17</v>
      </c>
      <c r="E831" s="33">
        <f t="shared" si="66"/>
        <v>-395746.78</v>
      </c>
      <c r="F831" s="100"/>
      <c r="G831" s="28">
        <f t="shared" si="70"/>
        <v>28</v>
      </c>
      <c r="H831" s="100" t="s">
        <v>28</v>
      </c>
      <c r="I831" s="15" t="s">
        <v>126</v>
      </c>
      <c r="J831" s="33">
        <v>-4020.37</v>
      </c>
      <c r="K831" s="33">
        <f t="shared" si="67"/>
        <v>-392975.42</v>
      </c>
      <c r="L831" s="33">
        <f t="shared" si="68"/>
        <v>-375.2</v>
      </c>
    </row>
    <row r="832" spans="1:12" ht="15.75">
      <c r="A832" s="38">
        <f t="shared" si="69"/>
        <v>29</v>
      </c>
      <c r="B832" s="101" t="s">
        <v>29</v>
      </c>
      <c r="C832" s="23" t="s">
        <v>126</v>
      </c>
      <c r="D832" s="33"/>
      <c r="E832" s="33">
        <f t="shared" si="66"/>
        <v>-395746.78</v>
      </c>
      <c r="F832" s="100"/>
      <c r="G832" s="28">
        <f t="shared" si="70"/>
        <v>29</v>
      </c>
      <c r="H832" s="100" t="s">
        <v>29</v>
      </c>
      <c r="I832" s="15" t="s">
        <v>126</v>
      </c>
      <c r="J832" s="33"/>
      <c r="K832" s="33">
        <f t="shared" si="67"/>
        <v>-392975.42</v>
      </c>
      <c r="L832" s="33"/>
    </row>
    <row r="833" spans="1:12" ht="15.75">
      <c r="A833" s="38">
        <f t="shared" si="69"/>
        <v>30</v>
      </c>
      <c r="B833" s="101" t="s">
        <v>30</v>
      </c>
      <c r="C833" s="26" t="s">
        <v>129</v>
      </c>
      <c r="D833" s="33"/>
      <c r="E833" s="33">
        <f t="shared" si="66"/>
        <v>-395746.78</v>
      </c>
      <c r="F833" s="100"/>
      <c r="G833" s="28">
        <f t="shared" si="70"/>
        <v>30</v>
      </c>
      <c r="H833" s="100" t="s">
        <v>30</v>
      </c>
      <c r="I833" s="26" t="s">
        <v>129</v>
      </c>
      <c r="J833" s="33"/>
      <c r="K833" s="33">
        <f t="shared" si="67"/>
        <v>-392975.42</v>
      </c>
      <c r="L833" s="33"/>
    </row>
    <row r="834" spans="1:12" ht="15.75">
      <c r="A834" s="38">
        <f t="shared" si="69"/>
        <v>31</v>
      </c>
      <c r="B834" s="101" t="s">
        <v>31</v>
      </c>
      <c r="C834" s="15" t="s">
        <v>129</v>
      </c>
      <c r="D834" s="33">
        <f>-690.6</f>
        <v>-690.6</v>
      </c>
      <c r="E834" s="33">
        <f t="shared" si="66"/>
        <v>-396437.38</v>
      </c>
      <c r="F834" s="100"/>
      <c r="G834" s="28">
        <f t="shared" si="70"/>
        <v>31</v>
      </c>
      <c r="H834" s="100" t="s">
        <v>31</v>
      </c>
      <c r="I834" s="15" t="s">
        <v>129</v>
      </c>
      <c r="J834" s="33"/>
      <c r="K834" s="33">
        <f t="shared" si="67"/>
        <v>-392975.42</v>
      </c>
      <c r="L834" s="33">
        <f t="shared" si="68"/>
        <v>690.6</v>
      </c>
    </row>
    <row r="835" spans="1:12" ht="15.75">
      <c r="A835" s="38">
        <f t="shared" si="69"/>
        <v>32</v>
      </c>
      <c r="B835" s="101" t="s">
        <v>32</v>
      </c>
      <c r="C835" s="15" t="s">
        <v>129</v>
      </c>
      <c r="D835" s="33"/>
      <c r="E835" s="33">
        <f t="shared" si="66"/>
        <v>-396437.38</v>
      </c>
      <c r="F835" s="100"/>
      <c r="G835" s="28">
        <f t="shared" si="70"/>
        <v>32</v>
      </c>
      <c r="H835" s="100" t="s">
        <v>32</v>
      </c>
      <c r="I835" s="15" t="s">
        <v>129</v>
      </c>
      <c r="J835" s="33"/>
      <c r="K835" s="33">
        <f t="shared" si="67"/>
        <v>-392975.42</v>
      </c>
      <c r="L835" s="33"/>
    </row>
    <row r="836" spans="1:12" ht="15.75">
      <c r="A836" s="38">
        <f t="shared" si="69"/>
        <v>33</v>
      </c>
      <c r="B836" s="101" t="s">
        <v>33</v>
      </c>
      <c r="C836" s="15" t="s">
        <v>129</v>
      </c>
      <c r="D836" s="33">
        <v>-4655.46</v>
      </c>
      <c r="E836" s="33">
        <f t="shared" si="66"/>
        <v>-401092.84</v>
      </c>
      <c r="F836" s="100"/>
      <c r="G836" s="28">
        <f t="shared" si="70"/>
        <v>33</v>
      </c>
      <c r="H836" s="100" t="s">
        <v>33</v>
      </c>
      <c r="I836" s="15" t="s">
        <v>129</v>
      </c>
      <c r="J836" s="33">
        <v>-4953.26</v>
      </c>
      <c r="K836" s="33">
        <f t="shared" si="67"/>
        <v>-397928.68</v>
      </c>
      <c r="L836" s="33">
        <f t="shared" si="68"/>
        <v>-297.8</v>
      </c>
    </row>
    <row r="837" spans="1:12" ht="15.75">
      <c r="A837" s="38">
        <f t="shared" si="69"/>
        <v>34</v>
      </c>
      <c r="B837" s="101" t="s">
        <v>34</v>
      </c>
      <c r="C837" s="15" t="s">
        <v>129</v>
      </c>
      <c r="D837" s="33">
        <v>-36082.230000000003</v>
      </c>
      <c r="E837" s="33">
        <f t="shared" ref="E837:E868" si="71">E836+D837</f>
        <v>-437175.07</v>
      </c>
      <c r="F837" s="100"/>
      <c r="G837" s="28">
        <f t="shared" si="70"/>
        <v>34</v>
      </c>
      <c r="H837" s="100" t="s">
        <v>34</v>
      </c>
      <c r="I837" s="15" t="s">
        <v>129</v>
      </c>
      <c r="J837" s="33">
        <v>-35814.93</v>
      </c>
      <c r="K837" s="33">
        <f t="shared" ref="K837:K868" si="72">K836+J837</f>
        <v>-433743.61</v>
      </c>
      <c r="L837" s="33">
        <f t="shared" si="68"/>
        <v>267.30000000000302</v>
      </c>
    </row>
    <row r="838" spans="1:12" ht="15.75">
      <c r="A838" s="38">
        <f t="shared" si="69"/>
        <v>35</v>
      </c>
      <c r="B838" s="101" t="s">
        <v>35</v>
      </c>
      <c r="C838" s="15" t="s">
        <v>129</v>
      </c>
      <c r="D838" s="33"/>
      <c r="E838" s="33">
        <f t="shared" si="71"/>
        <v>-437175.07</v>
      </c>
      <c r="F838" s="100"/>
      <c r="G838" s="28">
        <f t="shared" si="70"/>
        <v>35</v>
      </c>
      <c r="H838" s="100" t="s">
        <v>35</v>
      </c>
      <c r="I838" s="15" t="s">
        <v>129</v>
      </c>
      <c r="J838" s="33"/>
      <c r="K838" s="33">
        <f t="shared" si="72"/>
        <v>-433743.61</v>
      </c>
      <c r="L838" s="33"/>
    </row>
    <row r="839" spans="1:12" ht="15.75">
      <c r="A839" s="38">
        <f t="shared" si="69"/>
        <v>36</v>
      </c>
      <c r="B839" s="101" t="s">
        <v>36</v>
      </c>
      <c r="C839" s="15" t="s">
        <v>129</v>
      </c>
      <c r="D839" s="33">
        <v>-4139</v>
      </c>
      <c r="E839" s="33">
        <f t="shared" si="71"/>
        <v>-441314.07</v>
      </c>
      <c r="F839" s="100"/>
      <c r="G839" s="28">
        <f t="shared" si="70"/>
        <v>36</v>
      </c>
      <c r="H839" s="100" t="s">
        <v>36</v>
      </c>
      <c r="I839" s="15" t="s">
        <v>129</v>
      </c>
      <c r="J839" s="33">
        <v>-4123.62</v>
      </c>
      <c r="K839" s="33">
        <f t="shared" si="72"/>
        <v>-437867.23</v>
      </c>
      <c r="L839" s="33">
        <f t="shared" si="68"/>
        <v>15.3800000000001</v>
      </c>
    </row>
    <row r="840" spans="1:12" ht="15.75">
      <c r="A840" s="38">
        <f t="shared" si="69"/>
        <v>37</v>
      </c>
      <c r="B840" s="101" t="s">
        <v>37</v>
      </c>
      <c r="C840" s="15" t="s">
        <v>129</v>
      </c>
      <c r="D840" s="33">
        <v>-56037.599999999999</v>
      </c>
      <c r="E840" s="33">
        <f t="shared" si="71"/>
        <v>-497351.67</v>
      </c>
      <c r="F840" s="100"/>
      <c r="G840" s="28">
        <f t="shared" si="70"/>
        <v>37</v>
      </c>
      <c r="H840" s="100" t="s">
        <v>37</v>
      </c>
      <c r="I840" s="15" t="s">
        <v>129</v>
      </c>
      <c r="J840" s="33">
        <v>-56073.9</v>
      </c>
      <c r="K840" s="33">
        <f t="shared" si="72"/>
        <v>-493941.13</v>
      </c>
      <c r="L840" s="33">
        <f t="shared" si="68"/>
        <v>-36.300000000002903</v>
      </c>
    </row>
    <row r="841" spans="1:12" ht="15.75">
      <c r="A841" s="38">
        <f t="shared" si="69"/>
        <v>38</v>
      </c>
      <c r="B841" s="101" t="s">
        <v>38</v>
      </c>
      <c r="C841" s="15" t="s">
        <v>129</v>
      </c>
      <c r="D841" s="33"/>
      <c r="E841" s="33">
        <f t="shared" si="71"/>
        <v>-497351.67</v>
      </c>
      <c r="F841" s="100"/>
      <c r="G841" s="28">
        <f t="shared" si="70"/>
        <v>38</v>
      </c>
      <c r="H841" s="100" t="s">
        <v>38</v>
      </c>
      <c r="I841" s="15" t="s">
        <v>129</v>
      </c>
      <c r="J841" s="33"/>
      <c r="K841" s="33">
        <f t="shared" si="72"/>
        <v>-493941.13</v>
      </c>
      <c r="L841" s="33"/>
    </row>
    <row r="842" spans="1:12" ht="15.75">
      <c r="A842" s="38">
        <f t="shared" si="69"/>
        <v>39</v>
      </c>
      <c r="B842" s="101" t="s">
        <v>39</v>
      </c>
      <c r="C842" s="23" t="s">
        <v>130</v>
      </c>
      <c r="D842" s="33"/>
      <c r="E842" s="33">
        <f t="shared" si="71"/>
        <v>-497351.67</v>
      </c>
      <c r="F842" s="100"/>
      <c r="G842" s="28">
        <f t="shared" si="70"/>
        <v>39</v>
      </c>
      <c r="H842" s="100" t="s">
        <v>39</v>
      </c>
      <c r="I842" s="23" t="s">
        <v>130</v>
      </c>
      <c r="J842" s="33"/>
      <c r="K842" s="33">
        <f t="shared" si="72"/>
        <v>-493941.13</v>
      </c>
      <c r="L842" s="33"/>
    </row>
    <row r="843" spans="1:12" ht="15.75">
      <c r="A843" s="38">
        <f t="shared" si="69"/>
        <v>40</v>
      </c>
      <c r="B843" s="101" t="s">
        <v>40</v>
      </c>
      <c r="C843" s="26" t="s">
        <v>132</v>
      </c>
      <c r="D843" s="33">
        <v>-10391.299999999999</v>
      </c>
      <c r="E843" s="33">
        <f t="shared" si="71"/>
        <v>-507742.97</v>
      </c>
      <c r="F843" s="100"/>
      <c r="G843" s="28">
        <f t="shared" si="70"/>
        <v>40</v>
      </c>
      <c r="H843" s="100" t="s">
        <v>40</v>
      </c>
      <c r="I843" s="26" t="s">
        <v>132</v>
      </c>
      <c r="J843" s="33">
        <v>-10391.299999999999</v>
      </c>
      <c r="K843" s="33">
        <f t="shared" si="72"/>
        <v>-504332.43</v>
      </c>
      <c r="L843" s="33"/>
    </row>
    <row r="844" spans="1:12" ht="15.75">
      <c r="A844" s="38">
        <f t="shared" si="69"/>
        <v>41</v>
      </c>
      <c r="B844" s="101" t="s">
        <v>41</v>
      </c>
      <c r="C844" s="15" t="s">
        <v>132</v>
      </c>
      <c r="D844" s="33">
        <v>-39991.26</v>
      </c>
      <c r="E844" s="33">
        <f t="shared" si="71"/>
        <v>-547734.23</v>
      </c>
      <c r="F844" s="100"/>
      <c r="G844" s="28">
        <f t="shared" si="70"/>
        <v>41</v>
      </c>
      <c r="H844" s="100" t="s">
        <v>41</v>
      </c>
      <c r="I844" s="15" t="s">
        <v>132</v>
      </c>
      <c r="J844" s="33">
        <v>-40289.660000000003</v>
      </c>
      <c r="K844" s="33">
        <f t="shared" si="72"/>
        <v>-544622.09</v>
      </c>
      <c r="L844" s="33">
        <f t="shared" si="68"/>
        <v>-298.400000000001</v>
      </c>
    </row>
    <row r="845" spans="1:12" ht="15.75">
      <c r="A845" s="38">
        <f t="shared" si="69"/>
        <v>42</v>
      </c>
      <c r="B845" s="101" t="s">
        <v>42</v>
      </c>
      <c r="C845" s="15" t="s">
        <v>132</v>
      </c>
      <c r="D845" s="33">
        <v>-3177.69</v>
      </c>
      <c r="E845" s="33">
        <f t="shared" si="71"/>
        <v>-550911.92000000004</v>
      </c>
      <c r="F845" s="100"/>
      <c r="G845" s="28">
        <f t="shared" si="70"/>
        <v>42</v>
      </c>
      <c r="H845" s="100" t="s">
        <v>42</v>
      </c>
      <c r="I845" s="15" t="s">
        <v>132</v>
      </c>
      <c r="J845" s="33">
        <v>-2968.89</v>
      </c>
      <c r="K845" s="33">
        <f t="shared" si="72"/>
        <v>-547590.98</v>
      </c>
      <c r="L845" s="33">
        <f t="shared" si="68"/>
        <v>208.8</v>
      </c>
    </row>
    <row r="846" spans="1:12" ht="15.75">
      <c r="A846" s="38">
        <f t="shared" si="69"/>
        <v>43</v>
      </c>
      <c r="B846" s="101" t="s">
        <v>43</v>
      </c>
      <c r="C846" s="15" t="s">
        <v>132</v>
      </c>
      <c r="D846" s="33">
        <v>-2000.68</v>
      </c>
      <c r="E846" s="33">
        <f t="shared" si="71"/>
        <v>-552912.6</v>
      </c>
      <c r="F846" s="100"/>
      <c r="G846" s="28">
        <f t="shared" si="70"/>
        <v>43</v>
      </c>
      <c r="H846" s="100" t="s">
        <v>43</v>
      </c>
      <c r="I846" s="15" t="s">
        <v>132</v>
      </c>
      <c r="J846" s="33">
        <v>-2249.58</v>
      </c>
      <c r="K846" s="33">
        <f t="shared" si="72"/>
        <v>-549840.56000000006</v>
      </c>
      <c r="L846" s="33">
        <f t="shared" si="68"/>
        <v>-248.9</v>
      </c>
    </row>
    <row r="847" spans="1:12" ht="15.75">
      <c r="A847" s="38">
        <f t="shared" si="69"/>
        <v>44</v>
      </c>
      <c r="B847" s="101" t="s">
        <v>44</v>
      </c>
      <c r="C847" s="15" t="s">
        <v>132</v>
      </c>
      <c r="D847" s="33">
        <v>-6408.3</v>
      </c>
      <c r="E847" s="33">
        <f t="shared" si="71"/>
        <v>-559320.9</v>
      </c>
      <c r="F847" s="100"/>
      <c r="G847" s="28">
        <f t="shared" si="70"/>
        <v>44</v>
      </c>
      <c r="H847" s="100" t="s">
        <v>44</v>
      </c>
      <c r="I847" s="15" t="s">
        <v>132</v>
      </c>
      <c r="J847" s="33">
        <v>-6295.7</v>
      </c>
      <c r="K847" s="33">
        <f t="shared" si="72"/>
        <v>-556136.26</v>
      </c>
      <c r="L847" s="33">
        <f t="shared" si="68"/>
        <v>112.6</v>
      </c>
    </row>
    <row r="848" spans="1:12" ht="15.75">
      <c r="A848" s="38">
        <f t="shared" si="69"/>
        <v>45</v>
      </c>
      <c r="B848" s="101" t="s">
        <v>45</v>
      </c>
      <c r="C848" s="15" t="s">
        <v>132</v>
      </c>
      <c r="D848" s="33">
        <v>-585.77</v>
      </c>
      <c r="E848" s="33">
        <f t="shared" si="71"/>
        <v>-559906.67000000004</v>
      </c>
      <c r="F848" s="100"/>
      <c r="G848" s="28">
        <f t="shared" si="70"/>
        <v>45</v>
      </c>
      <c r="H848" s="100" t="s">
        <v>45</v>
      </c>
      <c r="I848" s="15" t="s">
        <v>132</v>
      </c>
      <c r="J848" s="33">
        <v>-551.77</v>
      </c>
      <c r="K848" s="33">
        <f t="shared" si="72"/>
        <v>-556688.03</v>
      </c>
      <c r="L848" s="33">
        <f t="shared" si="68"/>
        <v>34</v>
      </c>
    </row>
    <row r="849" spans="1:12" ht="15.75">
      <c r="A849" s="38">
        <f t="shared" si="69"/>
        <v>46</v>
      </c>
      <c r="B849" s="101" t="s">
        <v>46</v>
      </c>
      <c r="C849" s="49" t="s">
        <v>132</v>
      </c>
      <c r="D849" s="33">
        <v>-56407.1</v>
      </c>
      <c r="E849" s="33">
        <f t="shared" si="71"/>
        <v>-616313.77</v>
      </c>
      <c r="F849" s="100"/>
      <c r="G849" s="28">
        <f t="shared" si="70"/>
        <v>46</v>
      </c>
      <c r="H849" s="100" t="s">
        <v>46</v>
      </c>
      <c r="I849" s="49" t="s">
        <v>132</v>
      </c>
      <c r="J849" s="33">
        <v>-56654.6</v>
      </c>
      <c r="K849" s="33">
        <f t="shared" si="72"/>
        <v>-613342.63</v>
      </c>
      <c r="L849" s="33">
        <f t="shared" si="68"/>
        <v>-247.5</v>
      </c>
    </row>
    <row r="850" spans="1:12" ht="15.75">
      <c r="A850" s="38">
        <f t="shared" si="69"/>
        <v>47</v>
      </c>
      <c r="B850" s="101" t="s">
        <v>47</v>
      </c>
      <c r="C850" s="49" t="s">
        <v>132</v>
      </c>
      <c r="D850" s="33">
        <v>-756.64</v>
      </c>
      <c r="E850" s="33">
        <f t="shared" si="71"/>
        <v>-617070.41</v>
      </c>
      <c r="F850" s="100"/>
      <c r="G850" s="28">
        <f t="shared" si="70"/>
        <v>47</v>
      </c>
      <c r="H850" s="100" t="s">
        <v>47</v>
      </c>
      <c r="I850" s="49" t="s">
        <v>132</v>
      </c>
      <c r="J850" s="33">
        <v>-437.24</v>
      </c>
      <c r="K850" s="33">
        <f t="shared" si="72"/>
        <v>-613779.87</v>
      </c>
      <c r="L850" s="33">
        <f t="shared" si="68"/>
        <v>319.39999999999998</v>
      </c>
    </row>
    <row r="851" spans="1:12" ht="15.75">
      <c r="A851" s="38">
        <f t="shared" si="69"/>
        <v>48</v>
      </c>
      <c r="B851" s="101" t="s">
        <v>48</v>
      </c>
      <c r="C851" s="15" t="s">
        <v>132</v>
      </c>
      <c r="D851" s="33"/>
      <c r="E851" s="33">
        <f t="shared" si="71"/>
        <v>-617070.41</v>
      </c>
      <c r="F851" s="100"/>
      <c r="G851" s="28">
        <f t="shared" si="70"/>
        <v>48</v>
      </c>
      <c r="H851" s="100" t="s">
        <v>48</v>
      </c>
      <c r="I851" s="15" t="s">
        <v>132</v>
      </c>
      <c r="J851" s="33"/>
      <c r="K851" s="33">
        <f t="shared" si="72"/>
        <v>-613779.87</v>
      </c>
      <c r="L851" s="33"/>
    </row>
    <row r="852" spans="1:12" ht="15.75">
      <c r="A852" s="38">
        <f t="shared" si="69"/>
        <v>49</v>
      </c>
      <c r="B852" s="101" t="s">
        <v>49</v>
      </c>
      <c r="C852" s="15" t="s">
        <v>132</v>
      </c>
      <c r="D852" s="33">
        <v>-570.98</v>
      </c>
      <c r="E852" s="33">
        <f t="shared" si="71"/>
        <v>-617641.39</v>
      </c>
      <c r="F852" s="100"/>
      <c r="G852" s="28">
        <f t="shared" si="70"/>
        <v>49</v>
      </c>
      <c r="H852" s="100" t="s">
        <v>49</v>
      </c>
      <c r="I852" s="15" t="s">
        <v>132</v>
      </c>
      <c r="J852" s="33">
        <v>-495.68</v>
      </c>
      <c r="K852" s="33">
        <f t="shared" si="72"/>
        <v>-614275.55000000005</v>
      </c>
      <c r="L852" s="33">
        <f t="shared" si="68"/>
        <v>75.3</v>
      </c>
    </row>
    <row r="853" spans="1:12" ht="15.75">
      <c r="A853" s="38">
        <f t="shared" si="69"/>
        <v>50</v>
      </c>
      <c r="B853" s="101" t="s">
        <v>50</v>
      </c>
      <c r="C853" s="15" t="s">
        <v>132</v>
      </c>
      <c r="D853" s="33">
        <v>-9870.2999999999993</v>
      </c>
      <c r="E853" s="33">
        <f t="shared" si="71"/>
        <v>-627511.68999999994</v>
      </c>
      <c r="F853" s="100"/>
      <c r="G853" s="28">
        <f t="shared" si="70"/>
        <v>50</v>
      </c>
      <c r="H853" s="100" t="s">
        <v>50</v>
      </c>
      <c r="I853" s="15" t="s">
        <v>132</v>
      </c>
      <c r="J853" s="33">
        <v>-9870.2999999999993</v>
      </c>
      <c r="K853" s="33">
        <f t="shared" si="72"/>
        <v>-624145.85</v>
      </c>
      <c r="L853" s="33"/>
    </row>
    <row r="854" spans="1:12" ht="15.75">
      <c r="A854" s="38">
        <f t="shared" si="69"/>
        <v>51</v>
      </c>
      <c r="B854" s="101" t="s">
        <v>51</v>
      </c>
      <c r="C854" s="23" t="s">
        <v>132</v>
      </c>
      <c r="D854" s="33"/>
      <c r="E854" s="33">
        <f t="shared" si="71"/>
        <v>-627511.68999999994</v>
      </c>
      <c r="F854" s="100"/>
      <c r="G854" s="28">
        <f t="shared" si="70"/>
        <v>51</v>
      </c>
      <c r="H854" s="100" t="s">
        <v>51</v>
      </c>
      <c r="I854" s="15" t="s">
        <v>132</v>
      </c>
      <c r="J854" s="33"/>
      <c r="K854" s="33">
        <f t="shared" si="72"/>
        <v>-624145.85</v>
      </c>
      <c r="L854" s="33"/>
    </row>
    <row r="855" spans="1:12" ht="15.75">
      <c r="A855" s="38">
        <f t="shared" si="69"/>
        <v>52</v>
      </c>
      <c r="B855" s="101" t="s">
        <v>52</v>
      </c>
      <c r="C855" s="26" t="s">
        <v>133</v>
      </c>
      <c r="D855" s="33"/>
      <c r="E855" s="33">
        <f t="shared" si="71"/>
        <v>-627511.68999999994</v>
      </c>
      <c r="F855" s="100"/>
      <c r="G855" s="28">
        <f t="shared" si="70"/>
        <v>52</v>
      </c>
      <c r="H855" s="100" t="s">
        <v>52</v>
      </c>
      <c r="I855" s="26" t="s">
        <v>133</v>
      </c>
      <c r="J855" s="33"/>
      <c r="K855" s="33">
        <f t="shared" si="72"/>
        <v>-624145.85</v>
      </c>
      <c r="L855" s="33"/>
    </row>
    <row r="856" spans="1:12" ht="15.75">
      <c r="A856" s="38">
        <f t="shared" si="69"/>
        <v>53</v>
      </c>
      <c r="B856" s="101" t="s">
        <v>53</v>
      </c>
      <c r="C856" s="15" t="s">
        <v>133</v>
      </c>
      <c r="D856" s="33">
        <v>-690.8</v>
      </c>
      <c r="E856" s="33">
        <f t="shared" si="71"/>
        <v>-628202.49</v>
      </c>
      <c r="F856" s="100"/>
      <c r="G856" s="28">
        <f t="shared" si="70"/>
        <v>53</v>
      </c>
      <c r="H856" s="100" t="s">
        <v>53</v>
      </c>
      <c r="I856" s="15" t="s">
        <v>133</v>
      </c>
      <c r="J856" s="33">
        <v>-1075.0999999999999</v>
      </c>
      <c r="K856" s="33">
        <f t="shared" si="72"/>
        <v>-625220.94999999995</v>
      </c>
      <c r="L856" s="33">
        <f t="shared" si="68"/>
        <v>-384.3</v>
      </c>
    </row>
    <row r="857" spans="1:12" ht="15.75">
      <c r="A857" s="38">
        <f t="shared" si="69"/>
        <v>54</v>
      </c>
      <c r="B857" s="101" t="s">
        <v>54</v>
      </c>
      <c r="C857" s="15" t="s">
        <v>133</v>
      </c>
      <c r="D857" s="33">
        <v>-1310.5820000000001</v>
      </c>
      <c r="E857" s="33">
        <f t="shared" si="71"/>
        <v>-629513.07200000004</v>
      </c>
      <c r="F857" s="100"/>
      <c r="G857" s="28">
        <f t="shared" si="70"/>
        <v>54</v>
      </c>
      <c r="H857" s="100" t="s">
        <v>54</v>
      </c>
      <c r="I857" s="15" t="s">
        <v>133</v>
      </c>
      <c r="J857" s="33">
        <v>-1205.2819999999999</v>
      </c>
      <c r="K857" s="33">
        <f t="shared" si="72"/>
        <v>-626426.23199999996</v>
      </c>
      <c r="L857" s="33">
        <f t="shared" si="68"/>
        <v>105.3</v>
      </c>
    </row>
    <row r="858" spans="1:12" ht="15.75">
      <c r="A858" s="38">
        <f t="shared" si="69"/>
        <v>55</v>
      </c>
      <c r="B858" s="101" t="s">
        <v>55</v>
      </c>
      <c r="C858" s="15" t="s">
        <v>133</v>
      </c>
      <c r="D858" s="33">
        <v>-7928.22</v>
      </c>
      <c r="E858" s="33">
        <f t="shared" si="71"/>
        <v>-637441.29200000002</v>
      </c>
      <c r="F858" s="100"/>
      <c r="G858" s="28">
        <f t="shared" si="70"/>
        <v>55</v>
      </c>
      <c r="H858" s="100" t="s">
        <v>55</v>
      </c>
      <c r="I858" s="15" t="s">
        <v>133</v>
      </c>
      <c r="J858" s="33">
        <v>-7773.02</v>
      </c>
      <c r="K858" s="33">
        <f t="shared" si="72"/>
        <v>-634199.25199999998</v>
      </c>
      <c r="L858" s="33">
        <f t="shared" si="68"/>
        <v>155.19999999999999</v>
      </c>
    </row>
    <row r="859" spans="1:12" ht="15.75">
      <c r="A859" s="38">
        <f t="shared" si="69"/>
        <v>56</v>
      </c>
      <c r="B859" s="101" t="s">
        <v>56</v>
      </c>
      <c r="C859" s="15" t="s">
        <v>133</v>
      </c>
      <c r="D859" s="33">
        <v>-6166.61</v>
      </c>
      <c r="E859" s="33">
        <f t="shared" si="71"/>
        <v>-643607.902</v>
      </c>
      <c r="F859" s="100"/>
      <c r="G859" s="28">
        <f t="shared" si="70"/>
        <v>56</v>
      </c>
      <c r="H859" s="100" t="s">
        <v>56</v>
      </c>
      <c r="I859" s="15" t="s">
        <v>133</v>
      </c>
      <c r="J859" s="33">
        <v>-6155.11</v>
      </c>
      <c r="K859" s="33">
        <f t="shared" si="72"/>
        <v>-640354.36199999996</v>
      </c>
      <c r="L859" s="33">
        <f t="shared" si="68"/>
        <v>11.5</v>
      </c>
    </row>
    <row r="860" spans="1:12" ht="15.75">
      <c r="A860" s="38">
        <f t="shared" si="69"/>
        <v>57</v>
      </c>
      <c r="B860" s="101" t="s">
        <v>57</v>
      </c>
      <c r="C860" s="15" t="s">
        <v>133</v>
      </c>
      <c r="D860" s="33">
        <v>-1337.64</v>
      </c>
      <c r="E860" s="33">
        <f t="shared" si="71"/>
        <v>-644945.54200000002</v>
      </c>
      <c r="F860" s="100"/>
      <c r="G860" s="28">
        <f t="shared" si="70"/>
        <v>57</v>
      </c>
      <c r="H860" s="100" t="s">
        <v>57</v>
      </c>
      <c r="I860" s="15" t="s">
        <v>133</v>
      </c>
      <c r="J860" s="33">
        <v>-1543.34</v>
      </c>
      <c r="K860" s="33">
        <f t="shared" si="72"/>
        <v>-641897.70200000005</v>
      </c>
      <c r="L860" s="33">
        <f t="shared" si="68"/>
        <v>-205.7</v>
      </c>
    </row>
    <row r="861" spans="1:12" ht="15.75">
      <c r="A861" s="38">
        <f t="shared" si="69"/>
        <v>58</v>
      </c>
      <c r="B861" s="101" t="s">
        <v>58</v>
      </c>
      <c r="C861" s="15" t="s">
        <v>133</v>
      </c>
      <c r="D861" s="33">
        <v>-12089.97</v>
      </c>
      <c r="E861" s="33">
        <f t="shared" si="71"/>
        <v>-657035.51199999999</v>
      </c>
      <c r="F861" s="100"/>
      <c r="G861" s="28">
        <f t="shared" si="70"/>
        <v>58</v>
      </c>
      <c r="H861" s="100" t="s">
        <v>58</v>
      </c>
      <c r="I861" s="15" t="s">
        <v>133</v>
      </c>
      <c r="J861" s="33">
        <v>-11942.37</v>
      </c>
      <c r="K861" s="33">
        <f t="shared" si="72"/>
        <v>-653840.07200000004</v>
      </c>
      <c r="L861" s="33">
        <f t="shared" si="68"/>
        <v>147.599999999999</v>
      </c>
    </row>
    <row r="862" spans="1:12" ht="15.75">
      <c r="A862" s="38">
        <f t="shared" si="69"/>
        <v>59</v>
      </c>
      <c r="B862" s="101" t="s">
        <v>59</v>
      </c>
      <c r="C862" s="23" t="s">
        <v>133</v>
      </c>
      <c r="D862" s="33"/>
      <c r="E862" s="33">
        <f t="shared" si="71"/>
        <v>-657035.51199999999</v>
      </c>
      <c r="F862" s="100"/>
      <c r="G862" s="28">
        <f t="shared" si="70"/>
        <v>59</v>
      </c>
      <c r="H862" s="100" t="s">
        <v>59</v>
      </c>
      <c r="I862" s="23" t="s">
        <v>133</v>
      </c>
      <c r="J862" s="33"/>
      <c r="K862" s="33">
        <f t="shared" si="72"/>
        <v>-653840.07200000004</v>
      </c>
      <c r="L862" s="33"/>
    </row>
    <row r="863" spans="1:12" ht="15.75">
      <c r="A863" s="38">
        <f t="shared" si="69"/>
        <v>60</v>
      </c>
      <c r="B863" s="101" t="s">
        <v>60</v>
      </c>
      <c r="C863" s="26" t="s">
        <v>134</v>
      </c>
      <c r="D863" s="33"/>
      <c r="E863" s="33">
        <f t="shared" si="71"/>
        <v>-657035.51199999999</v>
      </c>
      <c r="F863" s="100"/>
      <c r="G863" s="28">
        <f t="shared" si="70"/>
        <v>60</v>
      </c>
      <c r="H863" s="100" t="s">
        <v>60</v>
      </c>
      <c r="I863" s="26" t="s">
        <v>134</v>
      </c>
      <c r="J863" s="33"/>
      <c r="K863" s="33">
        <f t="shared" si="72"/>
        <v>-653840.07200000004</v>
      </c>
      <c r="L863" s="33"/>
    </row>
    <row r="864" spans="1:12" ht="15.75">
      <c r="A864" s="38">
        <f t="shared" si="69"/>
        <v>61</v>
      </c>
      <c r="B864" s="101" t="s">
        <v>61</v>
      </c>
      <c r="C864" s="15" t="s">
        <v>134</v>
      </c>
      <c r="D864" s="33"/>
      <c r="E864" s="33">
        <f t="shared" si="71"/>
        <v>-657035.51199999999</v>
      </c>
      <c r="F864" s="100"/>
      <c r="G864" s="28">
        <f t="shared" si="70"/>
        <v>61</v>
      </c>
      <c r="H864" s="100" t="s">
        <v>61</v>
      </c>
      <c r="I864" s="15" t="s">
        <v>134</v>
      </c>
      <c r="J864" s="33"/>
      <c r="K864" s="33">
        <f t="shared" si="72"/>
        <v>-653840.07200000004</v>
      </c>
      <c r="L864" s="33"/>
    </row>
    <row r="865" spans="1:17" ht="15.75">
      <c r="A865" s="38">
        <f t="shared" si="69"/>
        <v>62</v>
      </c>
      <c r="B865" s="101" t="s">
        <v>62</v>
      </c>
      <c r="C865" s="15" t="s">
        <v>134</v>
      </c>
      <c r="D865" s="33"/>
      <c r="E865" s="33">
        <f t="shared" si="71"/>
        <v>-657035.51199999999</v>
      </c>
      <c r="F865" s="100"/>
      <c r="G865" s="28">
        <f t="shared" si="70"/>
        <v>62</v>
      </c>
      <c r="H865" s="100" t="s">
        <v>62</v>
      </c>
      <c r="I865" s="15" t="s">
        <v>134</v>
      </c>
      <c r="J865" s="33"/>
      <c r="K865" s="33">
        <f t="shared" si="72"/>
        <v>-653840.07200000004</v>
      </c>
      <c r="L865" s="33"/>
    </row>
    <row r="866" spans="1:17" ht="15.75">
      <c r="A866" s="38">
        <f t="shared" si="69"/>
        <v>63</v>
      </c>
      <c r="B866" s="101" t="s">
        <v>63</v>
      </c>
      <c r="C866" s="15" t="s">
        <v>134</v>
      </c>
      <c r="D866" s="33"/>
      <c r="E866" s="33">
        <f t="shared" si="71"/>
        <v>-657035.51199999999</v>
      </c>
      <c r="F866" s="100"/>
      <c r="G866" s="28">
        <f t="shared" si="70"/>
        <v>63</v>
      </c>
      <c r="H866" s="100" t="s">
        <v>63</v>
      </c>
      <c r="I866" s="15" t="s">
        <v>134</v>
      </c>
      <c r="J866" s="33">
        <v>-15.3</v>
      </c>
      <c r="K866" s="33">
        <f t="shared" si="72"/>
        <v>-653855.37199999997</v>
      </c>
      <c r="L866" s="33">
        <f t="shared" si="68"/>
        <v>-15.3</v>
      </c>
    </row>
    <row r="867" spans="1:17" ht="15.75">
      <c r="A867" s="38">
        <f t="shared" si="69"/>
        <v>64</v>
      </c>
      <c r="B867" s="101" t="s">
        <v>64</v>
      </c>
      <c r="C867" s="15" t="s">
        <v>134</v>
      </c>
      <c r="D867" s="33"/>
      <c r="E867" s="33">
        <f t="shared" si="71"/>
        <v>-657035.51199999999</v>
      </c>
      <c r="F867" s="100"/>
      <c r="G867" s="28">
        <f t="shared" si="70"/>
        <v>64</v>
      </c>
      <c r="H867" s="100" t="s">
        <v>64</v>
      </c>
      <c r="I867" s="15" t="s">
        <v>134</v>
      </c>
      <c r="J867" s="33"/>
      <c r="K867" s="33">
        <f t="shared" si="72"/>
        <v>-653855.37199999997</v>
      </c>
      <c r="L867" s="33"/>
    </row>
    <row r="868" spans="1:17" ht="16.5">
      <c r="A868" s="38">
        <f t="shared" si="69"/>
        <v>65</v>
      </c>
      <c r="B868" s="101" t="s">
        <v>65</v>
      </c>
      <c r="C868" s="15" t="s">
        <v>134</v>
      </c>
      <c r="D868" s="33">
        <v>-1402.3</v>
      </c>
      <c r="E868" s="33">
        <f t="shared" si="71"/>
        <v>-658437.81200000003</v>
      </c>
      <c r="F868" s="100"/>
      <c r="G868" s="28">
        <f t="shared" si="70"/>
        <v>65</v>
      </c>
      <c r="H868" s="100" t="s">
        <v>65</v>
      </c>
      <c r="I868" s="15" t="s">
        <v>134</v>
      </c>
      <c r="J868" s="33">
        <v>-1427.5</v>
      </c>
      <c r="K868" s="33">
        <f t="shared" si="72"/>
        <v>-655282.87199999997</v>
      </c>
      <c r="L868" s="33">
        <f t="shared" si="68"/>
        <v>-25.2</v>
      </c>
      <c r="M868" s="8"/>
      <c r="N868" s="7" t="s">
        <v>1</v>
      </c>
      <c r="O868" s="26" t="s">
        <v>119</v>
      </c>
      <c r="P868" s="102">
        <v>84.43</v>
      </c>
      <c r="Q868" s="1"/>
    </row>
    <row r="869" spans="1:17" ht="16.5">
      <c r="A869" s="38">
        <f t="shared" si="69"/>
        <v>66</v>
      </c>
      <c r="B869" s="101" t="s">
        <v>66</v>
      </c>
      <c r="C869" s="15" t="s">
        <v>134</v>
      </c>
      <c r="D869" s="33"/>
      <c r="E869" s="33">
        <f t="shared" ref="E869:E900" si="73">E868+D869</f>
        <v>-658437.81200000003</v>
      </c>
      <c r="F869" s="100"/>
      <c r="G869" s="28">
        <f t="shared" si="70"/>
        <v>66</v>
      </c>
      <c r="H869" s="100" t="s">
        <v>66</v>
      </c>
      <c r="I869" s="15" t="s">
        <v>134</v>
      </c>
      <c r="J869" s="33"/>
      <c r="K869" s="33">
        <f t="shared" ref="K869:K900" si="74">K868+J869</f>
        <v>-655282.87199999997</v>
      </c>
      <c r="L869" s="33"/>
      <c r="M869" s="8"/>
      <c r="N869" s="2" t="s">
        <v>2</v>
      </c>
      <c r="O869" s="15" t="s">
        <v>119</v>
      </c>
      <c r="P869" s="102">
        <v>-3070.5</v>
      </c>
      <c r="Q869" s="1"/>
    </row>
    <row r="870" spans="1:17" ht="16.5">
      <c r="A870" s="38">
        <f t="shared" si="69"/>
        <v>67</v>
      </c>
      <c r="B870" s="101" t="s">
        <v>67</v>
      </c>
      <c r="C870" s="23" t="s">
        <v>134</v>
      </c>
      <c r="D870" s="33">
        <v>-1324.62</v>
      </c>
      <c r="E870" s="33">
        <f t="shared" si="73"/>
        <v>-659762.43200000003</v>
      </c>
      <c r="F870" s="100"/>
      <c r="G870" s="28">
        <f t="shared" si="70"/>
        <v>67</v>
      </c>
      <c r="H870" s="100" t="s">
        <v>67</v>
      </c>
      <c r="I870" s="23" t="s">
        <v>134</v>
      </c>
      <c r="J870" s="33">
        <v>-1553.52</v>
      </c>
      <c r="K870" s="33">
        <f t="shared" si="74"/>
        <v>-656836.39199999999</v>
      </c>
      <c r="L870" s="33">
        <f t="shared" ref="L870:L904" si="75">J870-D870</f>
        <v>-228.9</v>
      </c>
      <c r="M870" s="8"/>
      <c r="N870" s="2" t="s">
        <v>3</v>
      </c>
      <c r="O870" s="15" t="s">
        <v>119</v>
      </c>
      <c r="P870" s="102">
        <v>-737.05</v>
      </c>
      <c r="Q870" s="1"/>
    </row>
    <row r="871" spans="1:17" ht="16.5">
      <c r="A871" s="38">
        <f t="shared" si="69"/>
        <v>68</v>
      </c>
      <c r="B871" s="101" t="s">
        <v>68</v>
      </c>
      <c r="C871" s="26" t="s">
        <v>135</v>
      </c>
      <c r="D871" s="33">
        <v>-2552.41</v>
      </c>
      <c r="E871" s="33">
        <f t="shared" si="73"/>
        <v>-662314.84199999995</v>
      </c>
      <c r="F871" s="100"/>
      <c r="G871" s="28">
        <f t="shared" si="70"/>
        <v>68</v>
      </c>
      <c r="H871" s="100" t="s">
        <v>68</v>
      </c>
      <c r="I871" s="26" t="s">
        <v>135</v>
      </c>
      <c r="J871" s="33">
        <v>-2752.21</v>
      </c>
      <c r="K871" s="33">
        <f t="shared" si="74"/>
        <v>-659588.60199999996</v>
      </c>
      <c r="L871" s="33">
        <f t="shared" si="75"/>
        <v>-199.8</v>
      </c>
      <c r="M871" s="8"/>
      <c r="N871" s="2" t="s">
        <v>4</v>
      </c>
      <c r="O871" s="15" t="s">
        <v>119</v>
      </c>
      <c r="P871" s="102">
        <v>-44743.16</v>
      </c>
      <c r="Q871" s="1"/>
    </row>
    <row r="872" spans="1:17" ht="16.5">
      <c r="A872" s="38">
        <f t="shared" si="69"/>
        <v>69</v>
      </c>
      <c r="B872" s="101" t="s">
        <v>69</v>
      </c>
      <c r="C872" s="15" t="s">
        <v>135</v>
      </c>
      <c r="D872" s="33">
        <v>-1016.26</v>
      </c>
      <c r="E872" s="33">
        <f t="shared" si="73"/>
        <v>-663331.10199999996</v>
      </c>
      <c r="F872" s="100"/>
      <c r="G872" s="28">
        <f t="shared" si="70"/>
        <v>69</v>
      </c>
      <c r="H872" s="100" t="s">
        <v>69</v>
      </c>
      <c r="I872" s="15" t="s">
        <v>135</v>
      </c>
      <c r="J872" s="33">
        <v>-890.66</v>
      </c>
      <c r="K872" s="33">
        <f t="shared" si="74"/>
        <v>-660479.26199999999</v>
      </c>
      <c r="L872" s="33">
        <f t="shared" si="75"/>
        <v>125.6</v>
      </c>
      <c r="M872" s="8"/>
      <c r="N872" s="2" t="s">
        <v>5</v>
      </c>
      <c r="O872" s="15" t="s">
        <v>119</v>
      </c>
      <c r="P872" s="102"/>
      <c r="Q872" s="1"/>
    </row>
    <row r="873" spans="1:17" ht="16.5">
      <c r="A873" s="38">
        <f t="shared" si="69"/>
        <v>70</v>
      </c>
      <c r="B873" s="101" t="s">
        <v>70</v>
      </c>
      <c r="C873" s="23" t="s">
        <v>135</v>
      </c>
      <c r="D873" s="33">
        <v>-9835.2800000000007</v>
      </c>
      <c r="E873" s="33">
        <f t="shared" si="73"/>
        <v>-673166.38199999998</v>
      </c>
      <c r="F873" s="100"/>
      <c r="G873" s="28">
        <f t="shared" si="70"/>
        <v>70</v>
      </c>
      <c r="H873" s="100" t="s">
        <v>70</v>
      </c>
      <c r="I873" s="23" t="s">
        <v>135</v>
      </c>
      <c r="J873" s="33">
        <v>-9520.2800000000007</v>
      </c>
      <c r="K873" s="33">
        <f t="shared" si="74"/>
        <v>-669999.54200000002</v>
      </c>
      <c r="L873" s="33">
        <f t="shared" si="75"/>
        <v>315</v>
      </c>
      <c r="M873" s="8"/>
      <c r="N873" s="2" t="s">
        <v>6</v>
      </c>
      <c r="O873" s="15" t="s">
        <v>119</v>
      </c>
      <c r="P873" s="102">
        <v>-14484.9</v>
      </c>
      <c r="Q873" s="1"/>
    </row>
    <row r="874" spans="1:17" ht="16.5">
      <c r="A874" s="38">
        <f t="shared" si="69"/>
        <v>71</v>
      </c>
      <c r="B874" s="101" t="s">
        <v>71</v>
      </c>
      <c r="C874" s="26" t="s">
        <v>137</v>
      </c>
      <c r="D874" s="33">
        <v>-4096.3500000000004</v>
      </c>
      <c r="E874" s="33">
        <f t="shared" si="73"/>
        <v>-677262.73199999996</v>
      </c>
      <c r="F874" s="100"/>
      <c r="G874" s="28">
        <f t="shared" si="70"/>
        <v>71</v>
      </c>
      <c r="H874" s="100" t="s">
        <v>71</v>
      </c>
      <c r="I874" s="26" t="s">
        <v>137</v>
      </c>
      <c r="J874" s="33">
        <v>-4442.25</v>
      </c>
      <c r="K874" s="33">
        <f t="shared" si="74"/>
        <v>-674441.79200000002</v>
      </c>
      <c r="L874" s="33">
        <f t="shared" si="75"/>
        <v>-345.9</v>
      </c>
      <c r="M874" s="8"/>
      <c r="N874" s="2" t="s">
        <v>7</v>
      </c>
      <c r="O874" s="15" t="s">
        <v>119</v>
      </c>
      <c r="P874" s="102">
        <v>-4120.6099999999997</v>
      </c>
      <c r="Q874" s="1"/>
    </row>
    <row r="875" spans="1:17" ht="16.5">
      <c r="A875" s="38">
        <f t="shared" si="69"/>
        <v>72</v>
      </c>
      <c r="B875" s="101" t="s">
        <v>72</v>
      </c>
      <c r="C875" s="15" t="s">
        <v>137</v>
      </c>
      <c r="D875" s="33">
        <v>-847.5</v>
      </c>
      <c r="E875" s="33">
        <f t="shared" si="73"/>
        <v>-678110.23199999996</v>
      </c>
      <c r="F875" s="100"/>
      <c r="G875" s="28">
        <f t="shared" si="70"/>
        <v>72</v>
      </c>
      <c r="H875" s="100" t="s">
        <v>72</v>
      </c>
      <c r="I875" s="15" t="s">
        <v>137</v>
      </c>
      <c r="J875" s="33"/>
      <c r="K875" s="33">
        <f t="shared" si="74"/>
        <v>-674441.79200000002</v>
      </c>
      <c r="L875" s="33">
        <f t="shared" si="75"/>
        <v>847.5</v>
      </c>
      <c r="M875" s="8"/>
      <c r="N875" s="2" t="s">
        <v>8</v>
      </c>
      <c r="O875" s="15" t="s">
        <v>119</v>
      </c>
      <c r="P875" s="102">
        <v>-866.5</v>
      </c>
      <c r="Q875" s="1"/>
    </row>
    <row r="876" spans="1:17" ht="16.5">
      <c r="A876" s="38">
        <f t="shared" si="69"/>
        <v>73</v>
      </c>
      <c r="B876" s="101" t="s">
        <v>73</v>
      </c>
      <c r="C876" s="15" t="s">
        <v>137</v>
      </c>
      <c r="D876" s="33"/>
      <c r="E876" s="33">
        <f t="shared" si="73"/>
        <v>-678110.23199999996</v>
      </c>
      <c r="F876" s="100"/>
      <c r="G876" s="28">
        <f t="shared" si="70"/>
        <v>73</v>
      </c>
      <c r="H876" s="100" t="s">
        <v>73</v>
      </c>
      <c r="I876" s="15" t="s">
        <v>137</v>
      </c>
      <c r="J876" s="33"/>
      <c r="K876" s="33">
        <f t="shared" si="74"/>
        <v>-674441.79200000002</v>
      </c>
      <c r="L876" s="33"/>
      <c r="M876" s="8"/>
      <c r="N876" s="2" t="s">
        <v>9</v>
      </c>
      <c r="O876" s="15" t="s">
        <v>119</v>
      </c>
      <c r="P876" s="102">
        <v>-6752.9</v>
      </c>
      <c r="Q876" s="1"/>
    </row>
    <row r="877" spans="1:17" ht="16.5">
      <c r="A877" s="38">
        <f t="shared" si="69"/>
        <v>74</v>
      </c>
      <c r="B877" s="101" t="s">
        <v>74</v>
      </c>
      <c r="C877" s="15" t="s">
        <v>137</v>
      </c>
      <c r="D877" s="33">
        <v>-21269.9</v>
      </c>
      <c r="E877" s="33">
        <f t="shared" si="73"/>
        <v>-699380.13199999998</v>
      </c>
      <c r="F877" s="100"/>
      <c r="G877" s="28">
        <f t="shared" si="70"/>
        <v>74</v>
      </c>
      <c r="H877" s="100" t="s">
        <v>74</v>
      </c>
      <c r="I877" s="15" t="s">
        <v>137</v>
      </c>
      <c r="J877" s="33">
        <v>-21084.799999999999</v>
      </c>
      <c r="K877" s="33">
        <f t="shared" si="74"/>
        <v>-695526.59199999995</v>
      </c>
      <c r="L877" s="33">
        <f t="shared" si="75"/>
        <v>185.10000000000201</v>
      </c>
      <c r="M877" s="8"/>
      <c r="N877" s="2" t="s">
        <v>10</v>
      </c>
      <c r="O877" s="15" t="s">
        <v>119</v>
      </c>
      <c r="P877" s="102">
        <v>2714.22</v>
      </c>
      <c r="Q877" s="1"/>
    </row>
    <row r="878" spans="1:17" ht="16.5">
      <c r="A878" s="38">
        <f t="shared" si="69"/>
        <v>75</v>
      </c>
      <c r="B878" s="101" t="s">
        <v>75</v>
      </c>
      <c r="C878" s="15" t="s">
        <v>137</v>
      </c>
      <c r="D878" s="33">
        <v>-32125.83</v>
      </c>
      <c r="E878" s="33">
        <f t="shared" si="73"/>
        <v>-731505.96200000006</v>
      </c>
      <c r="F878" s="100"/>
      <c r="G878" s="28">
        <f t="shared" si="70"/>
        <v>75</v>
      </c>
      <c r="H878" s="100" t="s">
        <v>75</v>
      </c>
      <c r="I878" s="15" t="s">
        <v>137</v>
      </c>
      <c r="J878" s="33">
        <v>-31914.63</v>
      </c>
      <c r="K878" s="33">
        <f t="shared" si="74"/>
        <v>-727441.22199999995</v>
      </c>
      <c r="L878" s="33">
        <f t="shared" si="75"/>
        <v>211.20000000000101</v>
      </c>
      <c r="M878" s="8"/>
      <c r="N878" s="2" t="s">
        <v>11</v>
      </c>
      <c r="O878" s="23" t="s">
        <v>119</v>
      </c>
      <c r="P878" s="102">
        <v>1941</v>
      </c>
      <c r="Q878" s="1"/>
    </row>
    <row r="879" spans="1:17" ht="16.5">
      <c r="A879" s="38">
        <f t="shared" ref="A879:A903" si="76">1+A878</f>
        <v>76</v>
      </c>
      <c r="B879" s="101" t="s">
        <v>76</v>
      </c>
      <c r="C879" s="15" t="s">
        <v>137</v>
      </c>
      <c r="D879" s="33">
        <v>-126044.74</v>
      </c>
      <c r="E879" s="33">
        <f t="shared" si="73"/>
        <v>-857550.70200000005</v>
      </c>
      <c r="F879" s="100"/>
      <c r="G879" s="28">
        <f t="shared" ref="G879:G903" si="77">1+G878</f>
        <v>76</v>
      </c>
      <c r="H879" s="100" t="s">
        <v>76</v>
      </c>
      <c r="I879" s="15" t="s">
        <v>137</v>
      </c>
      <c r="J879" s="33">
        <v>-127188.94</v>
      </c>
      <c r="K879" s="33">
        <f t="shared" si="74"/>
        <v>-854630.16200000001</v>
      </c>
      <c r="L879" s="33">
        <f t="shared" si="75"/>
        <v>-1144.2</v>
      </c>
      <c r="M879" s="8"/>
      <c r="N879" s="2" t="s">
        <v>12</v>
      </c>
      <c r="O879" s="26" t="s">
        <v>123</v>
      </c>
      <c r="P879" s="102">
        <v>-39846.269999999997</v>
      </c>
      <c r="Q879" s="1"/>
    </row>
    <row r="880" spans="1:17" ht="16.5">
      <c r="A880" s="38">
        <f t="shared" si="76"/>
        <v>77</v>
      </c>
      <c r="B880" s="101" t="s">
        <v>77</v>
      </c>
      <c r="C880" s="23" t="s">
        <v>137</v>
      </c>
      <c r="D880" s="33">
        <v>-402.96</v>
      </c>
      <c r="E880" s="33">
        <f t="shared" si="73"/>
        <v>-857953.66200000001</v>
      </c>
      <c r="F880" s="100"/>
      <c r="G880" s="28">
        <f t="shared" si="77"/>
        <v>77</v>
      </c>
      <c r="H880" s="100" t="s">
        <v>77</v>
      </c>
      <c r="I880" s="23" t="s">
        <v>137</v>
      </c>
      <c r="J880" s="33">
        <v>-80</v>
      </c>
      <c r="K880" s="33">
        <f t="shared" si="74"/>
        <v>-854710.16200000001</v>
      </c>
      <c r="L880" s="33">
        <f t="shared" si="75"/>
        <v>322.95999999999998</v>
      </c>
      <c r="M880" s="8"/>
      <c r="N880" s="2" t="s">
        <v>13</v>
      </c>
      <c r="O880" s="15" t="s">
        <v>123</v>
      </c>
      <c r="P880" s="102">
        <v>-21542.33</v>
      </c>
      <c r="Q880" s="1"/>
    </row>
    <row r="881" spans="1:17" ht="16.5">
      <c r="A881" s="38">
        <f t="shared" si="76"/>
        <v>78</v>
      </c>
      <c r="B881" s="101" t="s">
        <v>78</v>
      </c>
      <c r="C881" s="26" t="s">
        <v>139</v>
      </c>
      <c r="D881" s="33">
        <v>-10570.17</v>
      </c>
      <c r="E881" s="33">
        <f t="shared" si="73"/>
        <v>-868523.83200000005</v>
      </c>
      <c r="F881" s="100"/>
      <c r="G881" s="28">
        <f t="shared" si="77"/>
        <v>78</v>
      </c>
      <c r="H881" s="100" t="s">
        <v>78</v>
      </c>
      <c r="I881" s="26" t="s">
        <v>139</v>
      </c>
      <c r="J881" s="33">
        <v>-10198.469999999999</v>
      </c>
      <c r="K881" s="33">
        <f t="shared" si="74"/>
        <v>-864908.63199999998</v>
      </c>
      <c r="L881" s="33">
        <f t="shared" si="75"/>
        <v>371.70000000000101</v>
      </c>
      <c r="M881" s="8"/>
      <c r="N881" s="2" t="s">
        <v>14</v>
      </c>
      <c r="O881" s="15" t="s">
        <v>123</v>
      </c>
      <c r="P881" s="102">
        <v>-9499.77</v>
      </c>
      <c r="Q881" s="1"/>
    </row>
    <row r="882" spans="1:17" ht="16.5">
      <c r="A882" s="38">
        <f t="shared" si="76"/>
        <v>79</v>
      </c>
      <c r="B882" s="101" t="s">
        <v>79</v>
      </c>
      <c r="C882" s="15" t="s">
        <v>139</v>
      </c>
      <c r="D882" s="33">
        <v>-2177.66</v>
      </c>
      <c r="E882" s="33">
        <f t="shared" si="73"/>
        <v>-870701.49199999997</v>
      </c>
      <c r="F882" s="100"/>
      <c r="G882" s="28">
        <f t="shared" si="77"/>
        <v>79</v>
      </c>
      <c r="H882" s="100" t="s">
        <v>79</v>
      </c>
      <c r="I882" s="15" t="s">
        <v>139</v>
      </c>
      <c r="J882" s="33">
        <v>-2166.56</v>
      </c>
      <c r="K882" s="33">
        <f t="shared" si="74"/>
        <v>-867075.19200000004</v>
      </c>
      <c r="L882" s="33">
        <f t="shared" si="75"/>
        <v>11.0999999999999</v>
      </c>
      <c r="M882" s="8"/>
      <c r="N882" s="2" t="s">
        <v>15</v>
      </c>
      <c r="O882" s="15" t="s">
        <v>123</v>
      </c>
      <c r="P882" s="102">
        <v>-27375.58</v>
      </c>
      <c r="Q882" s="1"/>
    </row>
    <row r="883" spans="1:17" ht="16.5">
      <c r="A883" s="38">
        <f t="shared" si="76"/>
        <v>80</v>
      </c>
      <c r="B883" s="101" t="s">
        <v>80</v>
      </c>
      <c r="C883" s="15" t="s">
        <v>139</v>
      </c>
      <c r="D883" s="33"/>
      <c r="E883" s="33">
        <f t="shared" si="73"/>
        <v>-870701.49199999997</v>
      </c>
      <c r="F883" s="100"/>
      <c r="G883" s="28">
        <f t="shared" si="77"/>
        <v>80</v>
      </c>
      <c r="H883" s="100" t="s">
        <v>80</v>
      </c>
      <c r="I883" s="15" t="s">
        <v>139</v>
      </c>
      <c r="J883" s="33"/>
      <c r="K883" s="33">
        <f t="shared" si="74"/>
        <v>-867075.19200000004</v>
      </c>
      <c r="L883" s="33"/>
      <c r="M883" s="8"/>
      <c r="N883" s="2" t="s">
        <v>16</v>
      </c>
      <c r="O883" s="15" t="s">
        <v>123</v>
      </c>
      <c r="P883" s="102">
        <v>-18838.63</v>
      </c>
      <c r="Q883" s="1"/>
    </row>
    <row r="884" spans="1:17" ht="16.5">
      <c r="A884" s="38">
        <f t="shared" si="76"/>
        <v>81</v>
      </c>
      <c r="B884" s="101" t="s">
        <v>81</v>
      </c>
      <c r="C884" s="15" t="s">
        <v>139</v>
      </c>
      <c r="D884" s="33"/>
      <c r="E884" s="33">
        <f t="shared" si="73"/>
        <v>-870701.49199999997</v>
      </c>
      <c r="F884" s="100"/>
      <c r="G884" s="28">
        <f t="shared" si="77"/>
        <v>81</v>
      </c>
      <c r="H884" s="100" t="s">
        <v>81</v>
      </c>
      <c r="I884" s="15" t="s">
        <v>139</v>
      </c>
      <c r="J884" s="33"/>
      <c r="K884" s="33">
        <f t="shared" si="74"/>
        <v>-867075.19200000004</v>
      </c>
      <c r="L884" s="33"/>
      <c r="M884" s="8"/>
      <c r="N884" s="2" t="s">
        <v>17</v>
      </c>
      <c r="O884" s="15" t="s">
        <v>123</v>
      </c>
      <c r="P884" s="102"/>
      <c r="Q884" s="1"/>
    </row>
    <row r="885" spans="1:17" ht="16.5">
      <c r="A885" s="38">
        <f t="shared" si="76"/>
        <v>82</v>
      </c>
      <c r="B885" s="101" t="s">
        <v>82</v>
      </c>
      <c r="C885" s="15" t="s">
        <v>139</v>
      </c>
      <c r="D885" s="33">
        <v>-3768.7</v>
      </c>
      <c r="E885" s="33">
        <f t="shared" si="73"/>
        <v>-874470.19200000004</v>
      </c>
      <c r="F885" s="100"/>
      <c r="G885" s="28">
        <f t="shared" si="77"/>
        <v>82</v>
      </c>
      <c r="H885" s="100" t="s">
        <v>82</v>
      </c>
      <c r="I885" s="15" t="s">
        <v>139</v>
      </c>
      <c r="J885" s="33">
        <v>-3761.3</v>
      </c>
      <c r="K885" s="33">
        <f t="shared" si="74"/>
        <v>-870836.49199999997</v>
      </c>
      <c r="L885" s="33">
        <f t="shared" si="75"/>
        <v>7.3999999999996398</v>
      </c>
      <c r="M885" s="8"/>
      <c r="N885" s="2" t="s">
        <v>18</v>
      </c>
      <c r="O885" s="46" t="s">
        <v>123</v>
      </c>
      <c r="P885" s="102">
        <v>-114167.8</v>
      </c>
      <c r="Q885" s="1"/>
    </row>
    <row r="886" spans="1:17" ht="16.5">
      <c r="A886" s="38">
        <f t="shared" si="76"/>
        <v>83</v>
      </c>
      <c r="B886" s="101" t="s">
        <v>83</v>
      </c>
      <c r="C886" s="15" t="s">
        <v>139</v>
      </c>
      <c r="D886" s="33">
        <v>-701.25</v>
      </c>
      <c r="E886" s="33">
        <f t="shared" si="73"/>
        <v>-875171.44200000004</v>
      </c>
      <c r="F886" s="100"/>
      <c r="G886" s="28">
        <f t="shared" si="77"/>
        <v>83</v>
      </c>
      <c r="H886" s="100" t="s">
        <v>83</v>
      </c>
      <c r="I886" s="15" t="s">
        <v>139</v>
      </c>
      <c r="J886" s="33">
        <v>-463.95</v>
      </c>
      <c r="K886" s="33">
        <f t="shared" si="74"/>
        <v>-871300.44200000004</v>
      </c>
      <c r="L886" s="33">
        <f t="shared" si="75"/>
        <v>237.3</v>
      </c>
      <c r="M886" s="8"/>
      <c r="N886" s="2" t="s">
        <v>19</v>
      </c>
      <c r="O886" s="15" t="s">
        <v>123</v>
      </c>
      <c r="P886" s="102">
        <v>-20890.560000000001</v>
      </c>
      <c r="Q886" s="1"/>
    </row>
    <row r="887" spans="1:17" ht="16.5">
      <c r="A887" s="38">
        <f t="shared" si="76"/>
        <v>84</v>
      </c>
      <c r="B887" s="101" t="s">
        <v>84</v>
      </c>
      <c r="C887" s="15" t="s">
        <v>139</v>
      </c>
      <c r="D887" s="33">
        <v>-62.3</v>
      </c>
      <c r="E887" s="33">
        <f t="shared" si="73"/>
        <v>-875233.74199999997</v>
      </c>
      <c r="F887" s="100"/>
      <c r="G887" s="28">
        <f t="shared" si="77"/>
        <v>84</v>
      </c>
      <c r="H887" s="100" t="s">
        <v>84</v>
      </c>
      <c r="I887" s="15" t="s">
        <v>139</v>
      </c>
      <c r="J887" s="33"/>
      <c r="K887" s="33">
        <f t="shared" si="74"/>
        <v>-871300.44200000004</v>
      </c>
      <c r="L887" s="33">
        <f t="shared" si="75"/>
        <v>62.3</v>
      </c>
      <c r="M887" s="8"/>
      <c r="N887" s="2" t="s">
        <v>20</v>
      </c>
      <c r="O887" s="15" t="s">
        <v>123</v>
      </c>
      <c r="P887" s="102">
        <v>-10935.68</v>
      </c>
      <c r="Q887" s="1"/>
    </row>
    <row r="888" spans="1:17" ht="16.5">
      <c r="A888" s="38">
        <f t="shared" si="76"/>
        <v>85</v>
      </c>
      <c r="B888" s="101" t="s">
        <v>85</v>
      </c>
      <c r="C888" s="15" t="s">
        <v>139</v>
      </c>
      <c r="D888" s="33">
        <v>-20754.18</v>
      </c>
      <c r="E888" s="33">
        <f t="shared" si="73"/>
        <v>-895987.92200000002</v>
      </c>
      <c r="F888" s="100"/>
      <c r="G888" s="28">
        <f t="shared" si="77"/>
        <v>85</v>
      </c>
      <c r="H888" s="100" t="s">
        <v>85</v>
      </c>
      <c r="I888" s="15" t="s">
        <v>139</v>
      </c>
      <c r="J888" s="33">
        <v>-21591.279999999999</v>
      </c>
      <c r="K888" s="33">
        <f t="shared" si="74"/>
        <v>-892891.72199999995</v>
      </c>
      <c r="L888" s="33">
        <f t="shared" si="75"/>
        <v>-837.099999999999</v>
      </c>
      <c r="M888" s="8"/>
      <c r="N888" s="2" t="s">
        <v>21</v>
      </c>
      <c r="O888" s="23" t="s">
        <v>123</v>
      </c>
      <c r="P888" s="102">
        <v>-20070.87</v>
      </c>
      <c r="Q888" s="1"/>
    </row>
    <row r="889" spans="1:17" ht="16.5">
      <c r="A889" s="38">
        <f t="shared" si="76"/>
        <v>86</v>
      </c>
      <c r="B889" s="101" t="s">
        <v>86</v>
      </c>
      <c r="C889" s="15" t="s">
        <v>139</v>
      </c>
      <c r="D889" s="33"/>
      <c r="E889" s="33">
        <f t="shared" si="73"/>
        <v>-895987.92200000002</v>
      </c>
      <c r="F889" s="100"/>
      <c r="G889" s="28">
        <f t="shared" si="77"/>
        <v>86</v>
      </c>
      <c r="H889" s="100" t="s">
        <v>86</v>
      </c>
      <c r="I889" s="15" t="s">
        <v>139</v>
      </c>
      <c r="J889" s="33"/>
      <c r="K889" s="33">
        <f t="shared" si="74"/>
        <v>-892891.72199999995</v>
      </c>
      <c r="L889" s="33"/>
      <c r="M889" s="8"/>
      <c r="N889" s="2" t="s">
        <v>22</v>
      </c>
      <c r="O889" s="26" t="s">
        <v>126</v>
      </c>
      <c r="P889" s="102">
        <v>-447.04</v>
      </c>
      <c r="Q889" s="1"/>
    </row>
    <row r="890" spans="1:17" ht="16.5">
      <c r="A890" s="38">
        <f t="shared" si="76"/>
        <v>87</v>
      </c>
      <c r="B890" s="101" t="s">
        <v>87</v>
      </c>
      <c r="C890" s="15" t="s">
        <v>139</v>
      </c>
      <c r="D890" s="33">
        <v>-3565.7</v>
      </c>
      <c r="E890" s="33">
        <f t="shared" si="73"/>
        <v>-899553.62199999997</v>
      </c>
      <c r="F890" s="100"/>
      <c r="G890" s="28">
        <f t="shared" si="77"/>
        <v>87</v>
      </c>
      <c r="H890" s="100" t="s">
        <v>87</v>
      </c>
      <c r="I890" s="15" t="s">
        <v>139</v>
      </c>
      <c r="J890" s="33">
        <v>-3654.6</v>
      </c>
      <c r="K890" s="33">
        <f t="shared" si="74"/>
        <v>-896546.32200000004</v>
      </c>
      <c r="L890" s="33">
        <f t="shared" si="75"/>
        <v>-88.900000000000105</v>
      </c>
      <c r="M890" s="8"/>
      <c r="N890" s="2" t="s">
        <v>23</v>
      </c>
      <c r="O890" s="15" t="s">
        <v>126</v>
      </c>
      <c r="P890" s="102">
        <v>-27304.27</v>
      </c>
      <c r="Q890" s="1"/>
    </row>
    <row r="891" spans="1:17" ht="16.5">
      <c r="A891" s="38">
        <f t="shared" si="76"/>
        <v>88</v>
      </c>
      <c r="B891" s="101" t="s">
        <v>88</v>
      </c>
      <c r="C891" s="23" t="s">
        <v>139</v>
      </c>
      <c r="D891" s="33">
        <v>-30811.4</v>
      </c>
      <c r="E891" s="33">
        <f t="shared" si="73"/>
        <v>-930365.022</v>
      </c>
      <c r="F891" s="100"/>
      <c r="G891" s="28">
        <f t="shared" si="77"/>
        <v>88</v>
      </c>
      <c r="H891" s="100" t="s">
        <v>88</v>
      </c>
      <c r="I891" s="23" t="s">
        <v>139</v>
      </c>
      <c r="J891" s="33">
        <v>-32408.6</v>
      </c>
      <c r="K891" s="33">
        <f t="shared" si="74"/>
        <v>-928954.92200000002</v>
      </c>
      <c r="L891" s="33">
        <f t="shared" si="75"/>
        <v>-1597.2</v>
      </c>
      <c r="M891" s="8"/>
      <c r="N891" s="2" t="s">
        <v>24</v>
      </c>
      <c r="O891" s="15" t="s">
        <v>126</v>
      </c>
      <c r="P891" s="102">
        <v>-332.61</v>
      </c>
      <c r="Q891" s="1"/>
    </row>
    <row r="892" spans="1:17" ht="16.5">
      <c r="A892" s="38">
        <f t="shared" si="76"/>
        <v>89</v>
      </c>
      <c r="B892" s="101" t="s">
        <v>89</v>
      </c>
      <c r="C892" s="26" t="s">
        <v>141</v>
      </c>
      <c r="D892" s="33">
        <v>-465.9</v>
      </c>
      <c r="E892" s="33">
        <f t="shared" si="73"/>
        <v>-930830.92200000002</v>
      </c>
      <c r="F892" s="100"/>
      <c r="G892" s="28">
        <f t="shared" si="77"/>
        <v>89</v>
      </c>
      <c r="H892" s="100" t="s">
        <v>89</v>
      </c>
      <c r="I892" s="26" t="s">
        <v>141</v>
      </c>
      <c r="J892" s="33">
        <v>-633.29999999999995</v>
      </c>
      <c r="K892" s="33">
        <f t="shared" si="74"/>
        <v>-929588.22199999995</v>
      </c>
      <c r="L892" s="33">
        <f t="shared" si="75"/>
        <v>-167.4</v>
      </c>
      <c r="M892" s="8"/>
      <c r="N892" s="2" t="s">
        <v>25</v>
      </c>
      <c r="O892" s="15" t="s">
        <v>126</v>
      </c>
      <c r="P892" s="102"/>
      <c r="Q892" s="1"/>
    </row>
    <row r="893" spans="1:17" ht="16.5">
      <c r="A893" s="38">
        <f t="shared" si="76"/>
        <v>90</v>
      </c>
      <c r="B893" s="101" t="s">
        <v>90</v>
      </c>
      <c r="C893" s="15" t="s">
        <v>141</v>
      </c>
      <c r="D893" s="33">
        <v>-6029.3</v>
      </c>
      <c r="E893" s="33">
        <f t="shared" si="73"/>
        <v>-936860.22199999995</v>
      </c>
      <c r="F893" s="100"/>
      <c r="G893" s="28">
        <f t="shared" si="77"/>
        <v>90</v>
      </c>
      <c r="H893" s="100" t="s">
        <v>90</v>
      </c>
      <c r="I893" s="15" t="s">
        <v>141</v>
      </c>
      <c r="J893" s="33">
        <v>-5823.3</v>
      </c>
      <c r="K893" s="33">
        <f t="shared" si="74"/>
        <v>-935411.522</v>
      </c>
      <c r="L893" s="33">
        <f t="shared" si="75"/>
        <v>206</v>
      </c>
      <c r="M893" s="8"/>
      <c r="N893" s="2" t="s">
        <v>26</v>
      </c>
      <c r="O893" s="15" t="s">
        <v>126</v>
      </c>
      <c r="P893" s="102">
        <v>147.62</v>
      </c>
      <c r="Q893" s="1"/>
    </row>
    <row r="894" spans="1:17" ht="16.5">
      <c r="A894" s="38">
        <f t="shared" si="76"/>
        <v>91</v>
      </c>
      <c r="B894" s="101" t="s">
        <v>91</v>
      </c>
      <c r="C894" s="15" t="s">
        <v>141</v>
      </c>
      <c r="D894" s="33">
        <v>-110.07</v>
      </c>
      <c r="E894" s="33">
        <f t="shared" si="73"/>
        <v>-936970.29200000002</v>
      </c>
      <c r="F894" s="100"/>
      <c r="G894" s="28">
        <f t="shared" si="77"/>
        <v>91</v>
      </c>
      <c r="H894" s="100" t="s">
        <v>91</v>
      </c>
      <c r="I894" s="15" t="s">
        <v>141</v>
      </c>
      <c r="J894" s="33"/>
      <c r="K894" s="33">
        <f t="shared" si="74"/>
        <v>-935411.522</v>
      </c>
      <c r="L894" s="33">
        <f t="shared" si="75"/>
        <v>110.07</v>
      </c>
      <c r="M894" s="8"/>
      <c r="N894" s="2" t="s">
        <v>27</v>
      </c>
      <c r="O894" s="15" t="s">
        <v>126</v>
      </c>
      <c r="P894" s="102">
        <v>-2928.02</v>
      </c>
      <c r="Q894" s="1"/>
    </row>
    <row r="895" spans="1:17" ht="16.5">
      <c r="A895" s="38">
        <f t="shared" si="76"/>
        <v>92</v>
      </c>
      <c r="B895" s="101" t="s">
        <v>92</v>
      </c>
      <c r="C895" s="15" t="s">
        <v>141</v>
      </c>
      <c r="D895" s="33"/>
      <c r="E895" s="33">
        <f t="shared" si="73"/>
        <v>-936970.29200000002</v>
      </c>
      <c r="F895" s="100"/>
      <c r="G895" s="28">
        <f t="shared" si="77"/>
        <v>92</v>
      </c>
      <c r="H895" s="100" t="s">
        <v>92</v>
      </c>
      <c r="I895" s="15" t="s">
        <v>141</v>
      </c>
      <c r="J895" s="33"/>
      <c r="K895" s="33">
        <f t="shared" si="74"/>
        <v>-935411.522</v>
      </c>
      <c r="L895" s="33"/>
      <c r="M895" s="8"/>
      <c r="N895" s="2" t="s">
        <v>28</v>
      </c>
      <c r="O895" s="15" t="s">
        <v>126</v>
      </c>
      <c r="P895" s="102">
        <v>-4020.37</v>
      </c>
      <c r="Q895" s="1"/>
    </row>
    <row r="896" spans="1:17" ht="16.5">
      <c r="A896" s="38">
        <f t="shared" si="76"/>
        <v>93</v>
      </c>
      <c r="B896" s="101" t="s">
        <v>93</v>
      </c>
      <c r="C896" s="15" t="s">
        <v>141</v>
      </c>
      <c r="D896" s="33">
        <v>-50959.199999999997</v>
      </c>
      <c r="E896" s="33">
        <f t="shared" si="73"/>
        <v>-987929.49199999997</v>
      </c>
      <c r="F896" s="100"/>
      <c r="G896" s="28">
        <f t="shared" si="77"/>
        <v>93</v>
      </c>
      <c r="H896" s="100" t="s">
        <v>93</v>
      </c>
      <c r="I896" s="15" t="s">
        <v>141</v>
      </c>
      <c r="J896" s="33">
        <v>-50821.2</v>
      </c>
      <c r="K896" s="33">
        <f t="shared" si="74"/>
        <v>-986232.72199999995</v>
      </c>
      <c r="L896" s="33">
        <f t="shared" si="75"/>
        <v>138</v>
      </c>
      <c r="M896" s="8"/>
      <c r="N896" s="2" t="s">
        <v>29</v>
      </c>
      <c r="O896" s="26" t="s">
        <v>129</v>
      </c>
      <c r="P896" s="102"/>
      <c r="Q896" s="1"/>
    </row>
    <row r="897" spans="1:17" ht="16.5">
      <c r="A897" s="38">
        <f t="shared" si="76"/>
        <v>94</v>
      </c>
      <c r="B897" s="101" t="s">
        <v>94</v>
      </c>
      <c r="C897" s="15" t="s">
        <v>141</v>
      </c>
      <c r="D897" s="33">
        <v>-15729.83</v>
      </c>
      <c r="E897" s="33">
        <f t="shared" si="73"/>
        <v>-1003659.322</v>
      </c>
      <c r="F897" s="100"/>
      <c r="G897" s="28">
        <f t="shared" si="77"/>
        <v>94</v>
      </c>
      <c r="H897" s="100" t="s">
        <v>94</v>
      </c>
      <c r="I897" s="15" t="s">
        <v>141</v>
      </c>
      <c r="J897" s="33">
        <v>-15682.63</v>
      </c>
      <c r="K897" s="33">
        <f t="shared" si="74"/>
        <v>-1001915.352</v>
      </c>
      <c r="L897" s="33">
        <f t="shared" si="75"/>
        <v>47.200000000000699</v>
      </c>
      <c r="M897" s="8"/>
      <c r="N897" s="2" t="s">
        <v>30</v>
      </c>
      <c r="O897" s="15" t="s">
        <v>129</v>
      </c>
      <c r="P897" s="102"/>
      <c r="Q897" s="1"/>
    </row>
    <row r="898" spans="1:17" ht="16.5">
      <c r="A898" s="38">
        <f t="shared" si="76"/>
        <v>95</v>
      </c>
      <c r="B898" s="101" t="s">
        <v>95</v>
      </c>
      <c r="C898" s="52" t="s">
        <v>141</v>
      </c>
      <c r="D898" s="33"/>
      <c r="E898" s="33">
        <f t="shared" si="73"/>
        <v>-1003659.322</v>
      </c>
      <c r="F898" s="100"/>
      <c r="G898" s="28">
        <f t="shared" si="77"/>
        <v>95</v>
      </c>
      <c r="H898" s="100" t="s">
        <v>95</v>
      </c>
      <c r="I898" s="52" t="s">
        <v>141</v>
      </c>
      <c r="J898" s="33"/>
      <c r="K898" s="33">
        <f t="shared" si="74"/>
        <v>-1001915.352</v>
      </c>
      <c r="L898" s="33"/>
      <c r="M898" s="8"/>
      <c r="N898" s="2" t="s">
        <v>31</v>
      </c>
      <c r="O898" s="15" t="s">
        <v>129</v>
      </c>
      <c r="P898" s="102">
        <v>624.6</v>
      </c>
      <c r="Q898" s="1"/>
    </row>
    <row r="899" spans="1:17" ht="16.5">
      <c r="A899" s="38">
        <f t="shared" si="76"/>
        <v>96</v>
      </c>
      <c r="B899" s="101" t="s">
        <v>96</v>
      </c>
      <c r="C899" s="49" t="s">
        <v>106</v>
      </c>
      <c r="D899" s="33">
        <v>-136.6</v>
      </c>
      <c r="E899" s="33">
        <f t="shared" si="73"/>
        <v>-1003795.922</v>
      </c>
      <c r="F899" s="100"/>
      <c r="G899" s="28">
        <f t="shared" si="77"/>
        <v>96</v>
      </c>
      <c r="H899" s="100" t="s">
        <v>96</v>
      </c>
      <c r="I899" s="49" t="s">
        <v>106</v>
      </c>
      <c r="J899" s="103">
        <v>-365.7</v>
      </c>
      <c r="K899" s="33">
        <f t="shared" si="74"/>
        <v>-1002281.052</v>
      </c>
      <c r="L899" s="33">
        <f t="shared" si="75"/>
        <v>-229.1</v>
      </c>
      <c r="M899" s="8"/>
      <c r="N899" s="2" t="s">
        <v>32</v>
      </c>
      <c r="O899" s="15" t="s">
        <v>129</v>
      </c>
      <c r="P899" s="102"/>
      <c r="Q899" s="1"/>
    </row>
    <row r="900" spans="1:17" ht="16.5">
      <c r="A900" s="38">
        <f t="shared" si="76"/>
        <v>97</v>
      </c>
      <c r="B900" s="101" t="s">
        <v>97</v>
      </c>
      <c r="C900" s="15" t="s">
        <v>106</v>
      </c>
      <c r="D900" s="33"/>
      <c r="E900" s="33">
        <f t="shared" si="73"/>
        <v>-1003795.922</v>
      </c>
      <c r="F900" s="100"/>
      <c r="G900" s="28">
        <f t="shared" si="77"/>
        <v>97</v>
      </c>
      <c r="H900" s="100" t="s">
        <v>97</v>
      </c>
      <c r="I900" s="15" t="s">
        <v>106</v>
      </c>
      <c r="J900" s="33"/>
      <c r="K900" s="33">
        <f t="shared" si="74"/>
        <v>-1002281.052</v>
      </c>
      <c r="L900" s="33"/>
      <c r="M900" s="8"/>
      <c r="N900" s="2" t="s">
        <v>33</v>
      </c>
      <c r="O900" s="15" t="s">
        <v>129</v>
      </c>
      <c r="P900" s="102">
        <v>-4953.26</v>
      </c>
      <c r="Q900" s="1"/>
    </row>
    <row r="901" spans="1:17" ht="16.5">
      <c r="A901" s="38">
        <f t="shared" si="76"/>
        <v>98</v>
      </c>
      <c r="B901" s="101" t="s">
        <v>98</v>
      </c>
      <c r="C901" s="23" t="s">
        <v>106</v>
      </c>
      <c r="D901" s="33">
        <v>-25347.07</v>
      </c>
      <c r="E901" s="33">
        <f t="shared" ref="E901:E903" si="78">E900+D901</f>
        <v>-1029142.992</v>
      </c>
      <c r="F901" s="100"/>
      <c r="G901" s="28">
        <f t="shared" si="77"/>
        <v>98</v>
      </c>
      <c r="H901" s="100" t="s">
        <v>98</v>
      </c>
      <c r="I901" s="23" t="s">
        <v>106</v>
      </c>
      <c r="J901" s="33">
        <v>-25281.57</v>
      </c>
      <c r="K901" s="33">
        <f t="shared" ref="K901:K903" si="79">K900+J901</f>
        <v>-1027562.622</v>
      </c>
      <c r="L901" s="33">
        <f t="shared" si="75"/>
        <v>65.5</v>
      </c>
      <c r="M901" s="8"/>
      <c r="N901" s="2" t="s">
        <v>34</v>
      </c>
      <c r="O901" s="15" t="s">
        <v>129</v>
      </c>
      <c r="P901" s="102">
        <v>-35814.93</v>
      </c>
      <c r="Q901" s="1"/>
    </row>
    <row r="902" spans="1:17" ht="16.5">
      <c r="A902" s="38">
        <f t="shared" si="76"/>
        <v>99</v>
      </c>
      <c r="B902" s="104" t="s">
        <v>99</v>
      </c>
      <c r="C902" s="23" t="s">
        <v>106</v>
      </c>
      <c r="D902" s="33">
        <v>-61678.92</v>
      </c>
      <c r="E902" s="33">
        <f t="shared" si="78"/>
        <v>-1090821.912</v>
      </c>
      <c r="F902" s="100"/>
      <c r="G902" s="28">
        <f t="shared" si="77"/>
        <v>99</v>
      </c>
      <c r="H902" s="105" t="s">
        <v>99</v>
      </c>
      <c r="I902" s="23" t="s">
        <v>106</v>
      </c>
      <c r="J902" s="33">
        <v>-68000.92</v>
      </c>
      <c r="K902" s="33">
        <f t="shared" si="79"/>
        <v>-1095563.5419999999</v>
      </c>
      <c r="L902" s="33">
        <f t="shared" si="75"/>
        <v>-6322</v>
      </c>
      <c r="M902" s="8"/>
      <c r="N902" s="2" t="s">
        <v>35</v>
      </c>
      <c r="O902" s="15" t="s">
        <v>129</v>
      </c>
      <c r="P902" s="102">
        <v>836.8</v>
      </c>
      <c r="Q902" s="1"/>
    </row>
    <row r="903" spans="1:17" ht="16.5">
      <c r="A903" s="53">
        <f t="shared" si="76"/>
        <v>100</v>
      </c>
      <c r="B903" s="3" t="s">
        <v>100</v>
      </c>
      <c r="C903" s="23" t="s">
        <v>106</v>
      </c>
      <c r="D903" s="44">
        <v>-709.9</v>
      </c>
      <c r="E903" s="33">
        <f t="shared" si="78"/>
        <v>-1091531.8119999999</v>
      </c>
      <c r="F903" s="106"/>
      <c r="G903" s="28">
        <f t="shared" si="77"/>
        <v>100</v>
      </c>
      <c r="H903" s="3" t="s">
        <v>100</v>
      </c>
      <c r="I903" s="23" t="s">
        <v>106</v>
      </c>
      <c r="J903" s="44">
        <v>-799.6</v>
      </c>
      <c r="K903" s="33">
        <f t="shared" si="79"/>
        <v>-1096363.142</v>
      </c>
      <c r="L903" s="33">
        <f t="shared" si="75"/>
        <v>-89.7</v>
      </c>
      <c r="N903" s="2" t="s">
        <v>36</v>
      </c>
      <c r="O903" s="15" t="s">
        <v>129</v>
      </c>
      <c r="P903" s="102">
        <v>-4123.62</v>
      </c>
      <c r="Q903" s="1"/>
    </row>
    <row r="904" spans="1:17" ht="16.5">
      <c r="A904" s="56"/>
      <c r="B904" s="57" t="s">
        <v>102</v>
      </c>
      <c r="C904" s="58"/>
      <c r="D904" s="93">
        <f>SUM(D804:D903)</f>
        <v>-1091681.0819999999</v>
      </c>
      <c r="E904" s="59">
        <f>E902</f>
        <v>-1090821.912</v>
      </c>
      <c r="F904" s="60"/>
      <c r="G904" s="60"/>
      <c r="H904" s="57" t="s">
        <v>102</v>
      </c>
      <c r="I904" s="60"/>
      <c r="J904" s="93">
        <f>SUM(J804:J903)</f>
        <v>-1096363.142</v>
      </c>
      <c r="K904" s="59">
        <f>K902</f>
        <v>-1095563.5419999999</v>
      </c>
      <c r="L904" s="59">
        <f t="shared" si="75"/>
        <v>-4682.0600000000604</v>
      </c>
      <c r="M904" s="8"/>
      <c r="N904" s="2" t="s">
        <v>37</v>
      </c>
      <c r="O904" s="15" t="s">
        <v>129</v>
      </c>
      <c r="P904" s="102">
        <v>-56073.9</v>
      </c>
      <c r="Q904" s="1"/>
    </row>
    <row r="905" spans="1:17" ht="16.5">
      <c r="A905" s="61"/>
      <c r="B905" s="61"/>
      <c r="C905" s="61"/>
      <c r="D905" s="8"/>
      <c r="E905" s="8"/>
      <c r="F905" s="8"/>
      <c r="G905" s="8"/>
      <c r="H905" s="8"/>
      <c r="I905" s="8"/>
      <c r="J905" s="8"/>
      <c r="K905" s="8"/>
      <c r="L905" s="8"/>
      <c r="M905" s="62">
        <f>J904-D904</f>
        <v>-4682.0600000000604</v>
      </c>
      <c r="N905" s="2" t="s">
        <v>38</v>
      </c>
      <c r="O905" s="23" t="s">
        <v>130</v>
      </c>
      <c r="P905" s="102">
        <v>116.19</v>
      </c>
      <c r="Q905" s="1"/>
    </row>
    <row r="906" spans="1:17" ht="16.149999999999999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62">
        <f>SUM(J804:J902)</f>
        <v>-1095563.5419999999</v>
      </c>
      <c r="N906" s="2" t="s">
        <v>39</v>
      </c>
      <c r="O906" s="26" t="s">
        <v>132</v>
      </c>
      <c r="P906" s="102">
        <v>4499.09</v>
      </c>
      <c r="Q906" s="1"/>
    </row>
    <row r="907" spans="1:17" ht="15.6" customHeight="1">
      <c r="A907" s="127" t="s">
        <v>161</v>
      </c>
      <c r="B907" s="128"/>
      <c r="C907" s="128"/>
      <c r="D907" s="128"/>
      <c r="E907" s="129"/>
      <c r="F907" s="12"/>
      <c r="G907" s="127" t="s">
        <v>162</v>
      </c>
      <c r="H907" s="128"/>
      <c r="I907" s="128"/>
      <c r="J907" s="128"/>
      <c r="K907" s="129"/>
      <c r="L907" s="132" t="s">
        <v>160</v>
      </c>
      <c r="M907" s="62">
        <f>SUM(D804:D902)</f>
        <v>-1090971.182</v>
      </c>
      <c r="N907" s="2" t="s">
        <v>40</v>
      </c>
      <c r="O907" s="15" t="s">
        <v>132</v>
      </c>
      <c r="P907" s="102">
        <v>-10391.299999999999</v>
      </c>
      <c r="Q907" s="1"/>
    </row>
    <row r="908" spans="1:17" ht="47.25">
      <c r="A908" s="18" t="s">
        <v>112</v>
      </c>
      <c r="B908" s="19" t="s">
        <v>0</v>
      </c>
      <c r="C908" s="12" t="s">
        <v>113</v>
      </c>
      <c r="D908" s="20" t="s">
        <v>114</v>
      </c>
      <c r="E908" s="20" t="s">
        <v>115</v>
      </c>
      <c r="F908" s="63"/>
      <c r="G908" s="13" t="s">
        <v>112</v>
      </c>
      <c r="H908" s="12" t="s">
        <v>0</v>
      </c>
      <c r="I908" s="107" t="s">
        <v>113</v>
      </c>
      <c r="J908" s="12" t="s">
        <v>114</v>
      </c>
      <c r="K908" s="21" t="s">
        <v>115</v>
      </c>
      <c r="L908" s="133"/>
      <c r="M908" s="62">
        <f>M906-M907</f>
        <v>-4592.3599999998696</v>
      </c>
      <c r="N908" s="2" t="s">
        <v>41</v>
      </c>
      <c r="O908" s="15" t="s">
        <v>132</v>
      </c>
      <c r="P908" s="102">
        <v>-40289.660000000003</v>
      </c>
      <c r="Q908" s="1"/>
    </row>
    <row r="909" spans="1:17" ht="16.5">
      <c r="A909" s="108">
        <v>1</v>
      </c>
      <c r="B909" s="14" t="s">
        <v>8</v>
      </c>
      <c r="C909" s="26" t="s">
        <v>119</v>
      </c>
      <c r="D909" s="30"/>
      <c r="E909" s="109">
        <f>D909</f>
        <v>0</v>
      </c>
      <c r="F909" s="110"/>
      <c r="G909" s="108">
        <v>1</v>
      </c>
      <c r="H909" s="96" t="s">
        <v>8</v>
      </c>
      <c r="I909" s="15" t="s">
        <v>119</v>
      </c>
      <c r="J909" s="30"/>
      <c r="K909" s="109">
        <f>J909</f>
        <v>0</v>
      </c>
      <c r="L909" s="33"/>
      <c r="M909" s="62"/>
      <c r="N909" s="2" t="s">
        <v>42</v>
      </c>
      <c r="O909" s="15" t="s">
        <v>132</v>
      </c>
      <c r="P909" s="102">
        <v>-2968.89</v>
      </c>
      <c r="Q909" s="1"/>
    </row>
    <row r="910" spans="1:17" ht="16.5">
      <c r="A910" s="108">
        <f>1+A909</f>
        <v>2</v>
      </c>
      <c r="B910" s="25" t="s">
        <v>1</v>
      </c>
      <c r="C910" s="15" t="s">
        <v>119</v>
      </c>
      <c r="D910" s="33"/>
      <c r="E910" s="111">
        <f>D910+E909</f>
        <v>0</v>
      </c>
      <c r="F910" s="112"/>
      <c r="G910" s="113">
        <f>1+G909</f>
        <v>2</v>
      </c>
      <c r="H910" s="96" t="s">
        <v>1</v>
      </c>
      <c r="I910" s="15" t="s">
        <v>119</v>
      </c>
      <c r="J910" s="114">
        <v>84.43</v>
      </c>
      <c r="K910" s="111">
        <f>J910+K909</f>
        <v>84.43</v>
      </c>
      <c r="L910" s="33">
        <f t="shared" ref="L910:L966" si="80">J910-D910</f>
        <v>84.43</v>
      </c>
      <c r="M910" s="62"/>
      <c r="N910" s="2" t="s">
        <v>43</v>
      </c>
      <c r="O910" s="15"/>
      <c r="P910" s="102">
        <v>-2249.58</v>
      </c>
      <c r="Q910" s="1"/>
    </row>
    <row r="911" spans="1:17" ht="16.5">
      <c r="A911" s="113">
        <f t="shared" ref="A911:A967" si="81">1+A910</f>
        <v>3</v>
      </c>
      <c r="B911" s="2" t="s">
        <v>3</v>
      </c>
      <c r="C911" s="15" t="s">
        <v>119</v>
      </c>
      <c r="D911" s="33"/>
      <c r="E911" s="111">
        <f t="shared" ref="E911:E967" si="82">D911+E910</f>
        <v>0</v>
      </c>
      <c r="F911" s="20"/>
      <c r="G911" s="113">
        <f t="shared" ref="G911:G967" si="83">1+G910</f>
        <v>3</v>
      </c>
      <c r="H911" s="8" t="s">
        <v>3</v>
      </c>
      <c r="I911" s="15" t="s">
        <v>119</v>
      </c>
      <c r="J911" s="33"/>
      <c r="K911" s="111">
        <f t="shared" ref="K911:K967" si="84">J911+K910</f>
        <v>84.43</v>
      </c>
      <c r="L911" s="33"/>
      <c r="M911" s="62"/>
      <c r="N911" s="2" t="s">
        <v>44</v>
      </c>
      <c r="O911" s="15" t="s">
        <v>132</v>
      </c>
      <c r="P911" s="102">
        <v>-6295.7</v>
      </c>
      <c r="Q911" s="1"/>
    </row>
    <row r="912" spans="1:17" ht="16.5">
      <c r="A912" s="113">
        <f t="shared" si="81"/>
        <v>4</v>
      </c>
      <c r="B912" s="2" t="s">
        <v>99</v>
      </c>
      <c r="C912" s="26" t="s">
        <v>119</v>
      </c>
      <c r="D912" s="33"/>
      <c r="E912" s="111">
        <f t="shared" si="82"/>
        <v>0</v>
      </c>
      <c r="F912" s="80"/>
      <c r="G912" s="113">
        <f t="shared" si="83"/>
        <v>4</v>
      </c>
      <c r="H912" s="2" t="s">
        <v>99</v>
      </c>
      <c r="I912" s="26" t="s">
        <v>119</v>
      </c>
      <c r="J912" s="33"/>
      <c r="K912" s="111">
        <f t="shared" si="84"/>
        <v>84.43</v>
      </c>
      <c r="L912" s="33"/>
      <c r="N912" s="2" t="s">
        <v>45</v>
      </c>
      <c r="O912" s="15" t="s">
        <v>132</v>
      </c>
      <c r="P912" s="102">
        <v>-551.77</v>
      </c>
      <c r="Q912" s="1"/>
    </row>
    <row r="913" spans="1:19" ht="16.5">
      <c r="A913" s="113">
        <f t="shared" si="81"/>
        <v>5</v>
      </c>
      <c r="B913" s="14" t="s">
        <v>10</v>
      </c>
      <c r="C913" s="15" t="s">
        <v>119</v>
      </c>
      <c r="D913" s="33">
        <v>829.03</v>
      </c>
      <c r="E913" s="111">
        <f t="shared" si="82"/>
        <v>829.03</v>
      </c>
      <c r="F913" s="115"/>
      <c r="G913" s="113">
        <f t="shared" si="83"/>
        <v>5</v>
      </c>
      <c r="H913" s="116" t="s">
        <v>10</v>
      </c>
      <c r="I913" s="26" t="s">
        <v>123</v>
      </c>
      <c r="J913" s="114">
        <v>2714.22</v>
      </c>
      <c r="K913" s="111">
        <f t="shared" si="84"/>
        <v>2798.65</v>
      </c>
      <c r="L913" s="33">
        <f t="shared" si="80"/>
        <v>1885.19</v>
      </c>
      <c r="M913" s="62"/>
      <c r="N913" s="2" t="s">
        <v>46</v>
      </c>
      <c r="O913" s="49" t="s">
        <v>132</v>
      </c>
      <c r="P913" s="102">
        <v>-56654.6</v>
      </c>
      <c r="Q913" s="1"/>
    </row>
    <row r="914" spans="1:19" ht="16.5">
      <c r="A914" s="113">
        <f t="shared" si="81"/>
        <v>6</v>
      </c>
      <c r="B914" s="78" t="s">
        <v>11</v>
      </c>
      <c r="C914" s="79" t="s">
        <v>119</v>
      </c>
      <c r="D914" s="33"/>
      <c r="E914" s="111">
        <f t="shared" si="82"/>
        <v>829.03</v>
      </c>
      <c r="F914" s="115"/>
      <c r="G914" s="113">
        <f t="shared" si="83"/>
        <v>6</v>
      </c>
      <c r="H914" s="117" t="s">
        <v>11</v>
      </c>
      <c r="I914" s="23" t="s">
        <v>119</v>
      </c>
      <c r="J914" s="114">
        <v>1941</v>
      </c>
      <c r="K914" s="111">
        <f t="shared" si="84"/>
        <v>4739.6499999999996</v>
      </c>
      <c r="L914" s="33">
        <f t="shared" si="80"/>
        <v>1941</v>
      </c>
      <c r="M914" s="62"/>
      <c r="N914" s="2" t="s">
        <v>47</v>
      </c>
      <c r="O914" s="49" t="s">
        <v>132</v>
      </c>
      <c r="P914" s="102">
        <v>-437.24</v>
      </c>
      <c r="Q914" s="1"/>
    </row>
    <row r="915" spans="1:19" ht="16.5">
      <c r="A915" s="113">
        <f t="shared" si="81"/>
        <v>7</v>
      </c>
      <c r="B915" s="14" t="s">
        <v>24</v>
      </c>
      <c r="C915" s="15" t="s">
        <v>126</v>
      </c>
      <c r="D915" s="33"/>
      <c r="E915" s="111">
        <f t="shared" si="82"/>
        <v>829.03</v>
      </c>
      <c r="F915" s="115"/>
      <c r="G915" s="113">
        <f t="shared" si="83"/>
        <v>7</v>
      </c>
      <c r="H915" s="116" t="s">
        <v>24</v>
      </c>
      <c r="I915" s="15" t="s">
        <v>126</v>
      </c>
      <c r="J915" s="33"/>
      <c r="K915" s="111">
        <f t="shared" si="84"/>
        <v>4739.6499999999996</v>
      </c>
      <c r="L915" s="33"/>
      <c r="M915" s="62"/>
      <c r="N915" s="2" t="s">
        <v>48</v>
      </c>
      <c r="O915" s="15" t="s">
        <v>132</v>
      </c>
      <c r="P915" s="102">
        <v>1131.4100000000001</v>
      </c>
      <c r="Q915" s="1"/>
    </row>
    <row r="916" spans="1:19" ht="16.5">
      <c r="A916" s="113">
        <f t="shared" si="81"/>
        <v>8</v>
      </c>
      <c r="B916" s="14" t="s">
        <v>27</v>
      </c>
      <c r="C916" s="15" t="s">
        <v>126</v>
      </c>
      <c r="D916" s="33"/>
      <c r="E916" s="111">
        <f t="shared" si="82"/>
        <v>829.03</v>
      </c>
      <c r="F916" s="115"/>
      <c r="G916" s="113">
        <f t="shared" si="83"/>
        <v>8</v>
      </c>
      <c r="H916" s="116" t="s">
        <v>27</v>
      </c>
      <c r="I916" s="15" t="s">
        <v>126</v>
      </c>
      <c r="J916" s="33"/>
      <c r="K916" s="111">
        <f t="shared" si="84"/>
        <v>4739.6499999999996</v>
      </c>
      <c r="L916" s="33"/>
      <c r="M916" s="62"/>
      <c r="N916" s="2" t="s">
        <v>49</v>
      </c>
      <c r="O916" s="15" t="s">
        <v>132</v>
      </c>
      <c r="P916" s="102">
        <v>-495.68</v>
      </c>
      <c r="Q916" s="1"/>
    </row>
    <row r="917" spans="1:19" ht="16.5">
      <c r="A917" s="113">
        <f t="shared" si="81"/>
        <v>9</v>
      </c>
      <c r="B917" s="14" t="s">
        <v>31</v>
      </c>
      <c r="C917" s="15" t="s">
        <v>126</v>
      </c>
      <c r="D917" s="33"/>
      <c r="E917" s="111">
        <f t="shared" si="82"/>
        <v>829.03</v>
      </c>
      <c r="F917" s="115"/>
      <c r="G917" s="113">
        <f t="shared" si="83"/>
        <v>9</v>
      </c>
      <c r="H917" s="116" t="s">
        <v>31</v>
      </c>
      <c r="I917" s="15" t="s">
        <v>123</v>
      </c>
      <c r="J917" s="114">
        <v>624.6</v>
      </c>
      <c r="K917" s="111">
        <f t="shared" si="84"/>
        <v>5364.25</v>
      </c>
      <c r="L917" s="33">
        <f t="shared" si="80"/>
        <v>624.6</v>
      </c>
      <c r="M917" s="62"/>
      <c r="N917" s="2" t="s">
        <v>50</v>
      </c>
      <c r="O917" s="15" t="s">
        <v>132</v>
      </c>
      <c r="P917" s="102">
        <v>-9870.2999999999993</v>
      </c>
      <c r="Q917" s="1"/>
      <c r="S917" s="118">
        <v>3200</v>
      </c>
    </row>
    <row r="918" spans="1:19" ht="16.5">
      <c r="A918" s="113">
        <f t="shared" si="81"/>
        <v>10</v>
      </c>
      <c r="B918" s="14" t="s">
        <v>22</v>
      </c>
      <c r="C918" s="15" t="s">
        <v>126</v>
      </c>
      <c r="D918" s="33"/>
      <c r="E918" s="111">
        <f t="shared" si="82"/>
        <v>829.03</v>
      </c>
      <c r="F918" s="115"/>
      <c r="G918" s="113">
        <f t="shared" si="83"/>
        <v>10</v>
      </c>
      <c r="H918" s="116" t="s">
        <v>22</v>
      </c>
      <c r="I918" s="15" t="s">
        <v>126</v>
      </c>
      <c r="J918" s="33"/>
      <c r="K918" s="111">
        <f t="shared" si="84"/>
        <v>5364.25</v>
      </c>
      <c r="L918" s="33"/>
      <c r="M918" s="62"/>
      <c r="N918" s="2" t="s">
        <v>51</v>
      </c>
      <c r="O918" s="15" t="s">
        <v>132</v>
      </c>
      <c r="P918" s="102">
        <v>103.53</v>
      </c>
      <c r="Q918" s="1"/>
      <c r="S918" s="119">
        <v>3140</v>
      </c>
    </row>
    <row r="919" spans="1:19" ht="16.5">
      <c r="A919" s="113">
        <f t="shared" si="81"/>
        <v>11</v>
      </c>
      <c r="B919" s="47" t="s">
        <v>127</v>
      </c>
      <c r="C919" s="15" t="s">
        <v>126</v>
      </c>
      <c r="D919" s="33">
        <v>158.68</v>
      </c>
      <c r="E919" s="111">
        <f t="shared" si="82"/>
        <v>987.71</v>
      </c>
      <c r="F919" s="115"/>
      <c r="G919" s="113">
        <f t="shared" si="83"/>
        <v>11</v>
      </c>
      <c r="H919" s="120" t="s">
        <v>127</v>
      </c>
      <c r="I919" s="15" t="s">
        <v>126</v>
      </c>
      <c r="J919" s="114">
        <v>147.62</v>
      </c>
      <c r="K919" s="111">
        <f t="shared" si="84"/>
        <v>5511.87</v>
      </c>
      <c r="L919" s="33">
        <f t="shared" si="80"/>
        <v>-11.06</v>
      </c>
      <c r="M919" s="62"/>
      <c r="N919" s="2" t="s">
        <v>52</v>
      </c>
      <c r="O919" s="26" t="s">
        <v>133</v>
      </c>
      <c r="P919" s="102">
        <v>284.3</v>
      </c>
      <c r="Q919" s="1"/>
      <c r="S919" s="119">
        <v>5000</v>
      </c>
    </row>
    <row r="920" spans="1:19" ht="16.5">
      <c r="A920" s="113">
        <f t="shared" si="81"/>
        <v>12</v>
      </c>
      <c r="B920" s="100" t="s">
        <v>35</v>
      </c>
      <c r="C920" s="15" t="s">
        <v>126</v>
      </c>
      <c r="D920" s="33">
        <v>746.4</v>
      </c>
      <c r="E920" s="111">
        <f t="shared" si="82"/>
        <v>1734.11</v>
      </c>
      <c r="F920" s="115"/>
      <c r="G920" s="113">
        <f t="shared" si="83"/>
        <v>12</v>
      </c>
      <c r="H920" s="100" t="s">
        <v>35</v>
      </c>
      <c r="I920" s="15" t="s">
        <v>126</v>
      </c>
      <c r="J920" s="114">
        <v>836.8</v>
      </c>
      <c r="K920" s="111">
        <f t="shared" si="84"/>
        <v>6348.67</v>
      </c>
      <c r="L920" s="33">
        <f t="shared" si="80"/>
        <v>90.4</v>
      </c>
      <c r="M920" s="62"/>
      <c r="N920" s="2" t="s">
        <v>53</v>
      </c>
      <c r="O920" s="15" t="s">
        <v>133</v>
      </c>
      <c r="P920" s="102">
        <v>-1075.0999999999999</v>
      </c>
      <c r="Q920" s="1"/>
      <c r="S920" s="121">
        <v>450</v>
      </c>
    </row>
    <row r="921" spans="1:19" ht="16.5">
      <c r="A921" s="113">
        <f t="shared" si="81"/>
        <v>13</v>
      </c>
      <c r="B921" s="43" t="s">
        <v>38</v>
      </c>
      <c r="C921" s="15" t="s">
        <v>130</v>
      </c>
      <c r="D921" s="33">
        <v>113.29</v>
      </c>
      <c r="E921" s="111">
        <f t="shared" si="82"/>
        <v>1847.4</v>
      </c>
      <c r="F921" s="115"/>
      <c r="G921" s="113">
        <f t="shared" si="83"/>
        <v>13</v>
      </c>
      <c r="H921" s="117" t="s">
        <v>38</v>
      </c>
      <c r="I921" s="23" t="s">
        <v>130</v>
      </c>
      <c r="J921" s="114">
        <v>116.19</v>
      </c>
      <c r="K921" s="111">
        <f t="shared" si="84"/>
        <v>6464.86</v>
      </c>
      <c r="L921" s="33">
        <f t="shared" si="80"/>
        <v>2.8999999999999901</v>
      </c>
      <c r="M921" s="62"/>
      <c r="N921" s="2" t="s">
        <v>54</v>
      </c>
      <c r="O921" s="15" t="s">
        <v>133</v>
      </c>
      <c r="P921" s="102">
        <v>-1205.2819999999999</v>
      </c>
      <c r="Q921" s="1"/>
      <c r="S921" s="119">
        <v>1550</v>
      </c>
    </row>
    <row r="922" spans="1:19" ht="16.5">
      <c r="A922" s="113">
        <f t="shared" si="81"/>
        <v>14</v>
      </c>
      <c r="B922" s="25" t="s">
        <v>39</v>
      </c>
      <c r="C922" s="26" t="s">
        <v>132</v>
      </c>
      <c r="D922" s="33">
        <v>3993.89</v>
      </c>
      <c r="E922" s="111">
        <f t="shared" si="82"/>
        <v>5841.29</v>
      </c>
      <c r="F922" s="115"/>
      <c r="G922" s="113">
        <f t="shared" si="83"/>
        <v>14</v>
      </c>
      <c r="H922" s="96" t="s">
        <v>39</v>
      </c>
      <c r="I922" s="26" t="s">
        <v>132</v>
      </c>
      <c r="J922" s="114">
        <v>4499.09</v>
      </c>
      <c r="K922" s="111">
        <f t="shared" si="84"/>
        <v>10963.95</v>
      </c>
      <c r="L922" s="33">
        <f t="shared" si="80"/>
        <v>505.2</v>
      </c>
      <c r="M922" s="62"/>
      <c r="N922" s="2" t="s">
        <v>55</v>
      </c>
      <c r="O922" s="15" t="s">
        <v>133</v>
      </c>
      <c r="P922" s="102">
        <v>-7773.02</v>
      </c>
      <c r="Q922" s="1"/>
      <c r="S922" s="119">
        <v>1000</v>
      </c>
    </row>
    <row r="923" spans="1:19" ht="16.5">
      <c r="A923" s="113">
        <f t="shared" si="81"/>
        <v>15</v>
      </c>
      <c r="B923" s="2" t="s">
        <v>43</v>
      </c>
      <c r="C923" s="15" t="s">
        <v>132</v>
      </c>
      <c r="D923" s="33"/>
      <c r="E923" s="111">
        <f t="shared" si="82"/>
        <v>5841.29</v>
      </c>
      <c r="F923" s="115"/>
      <c r="G923" s="113">
        <f t="shared" si="83"/>
        <v>15</v>
      </c>
      <c r="H923" s="8" t="s">
        <v>43</v>
      </c>
      <c r="I923" s="15" t="s">
        <v>132</v>
      </c>
      <c r="J923" s="33"/>
      <c r="K923" s="111">
        <f t="shared" si="84"/>
        <v>10963.95</v>
      </c>
      <c r="L923" s="33"/>
      <c r="M923" s="62"/>
      <c r="N923" s="2" t="s">
        <v>56</v>
      </c>
      <c r="O923" s="15" t="s">
        <v>133</v>
      </c>
      <c r="P923" s="102">
        <v>-6155.11</v>
      </c>
      <c r="Q923" s="1"/>
    </row>
    <row r="924" spans="1:19" ht="16.5">
      <c r="A924" s="113">
        <f t="shared" si="81"/>
        <v>16</v>
      </c>
      <c r="B924" s="2" t="s">
        <v>45</v>
      </c>
      <c r="C924" s="49" t="s">
        <v>132</v>
      </c>
      <c r="D924" s="33"/>
      <c r="E924" s="111">
        <f t="shared" si="82"/>
        <v>5841.29</v>
      </c>
      <c r="F924" s="115"/>
      <c r="G924" s="113">
        <f t="shared" si="83"/>
        <v>16</v>
      </c>
      <c r="H924" s="2" t="s">
        <v>45</v>
      </c>
      <c r="I924" s="15" t="s">
        <v>132</v>
      </c>
      <c r="J924" s="33"/>
      <c r="K924" s="111">
        <f t="shared" si="84"/>
        <v>10963.95</v>
      </c>
      <c r="L924" s="33"/>
      <c r="M924" s="62"/>
      <c r="N924" s="2" t="s">
        <v>57</v>
      </c>
      <c r="O924" s="15" t="s">
        <v>133</v>
      </c>
      <c r="P924" s="102">
        <v>-1543.34</v>
      </c>
      <c r="Q924" s="1"/>
    </row>
    <row r="925" spans="1:19" ht="16.5">
      <c r="A925" s="113">
        <f t="shared" si="81"/>
        <v>17</v>
      </c>
      <c r="B925" s="14" t="s">
        <v>47</v>
      </c>
      <c r="C925" s="15" t="s">
        <v>132</v>
      </c>
      <c r="D925" s="33"/>
      <c r="E925" s="111">
        <f t="shared" si="82"/>
        <v>5841.29</v>
      </c>
      <c r="F925" s="115"/>
      <c r="G925" s="113">
        <f t="shared" si="83"/>
        <v>17</v>
      </c>
      <c r="H925" s="116" t="s">
        <v>47</v>
      </c>
      <c r="I925" s="15" t="s">
        <v>132</v>
      </c>
      <c r="J925" s="33"/>
      <c r="K925" s="111">
        <f t="shared" si="84"/>
        <v>10963.95</v>
      </c>
      <c r="L925" s="33"/>
      <c r="M925" s="62"/>
      <c r="N925" s="2" t="s">
        <v>58</v>
      </c>
      <c r="O925" s="15" t="s">
        <v>133</v>
      </c>
      <c r="P925" s="102">
        <v>-11942.37</v>
      </c>
      <c r="Q925" s="1"/>
    </row>
    <row r="926" spans="1:19" ht="16.5">
      <c r="A926" s="113">
        <f t="shared" si="81"/>
        <v>18</v>
      </c>
      <c r="B926" s="14" t="s">
        <v>48</v>
      </c>
      <c r="C926" s="15" t="s">
        <v>132</v>
      </c>
      <c r="D926" s="33">
        <v>498.01</v>
      </c>
      <c r="E926" s="111">
        <f t="shared" si="82"/>
        <v>6339.3</v>
      </c>
      <c r="F926" s="115"/>
      <c r="G926" s="113">
        <f t="shared" si="83"/>
        <v>18</v>
      </c>
      <c r="H926" s="116" t="s">
        <v>48</v>
      </c>
      <c r="I926" s="15" t="s">
        <v>132</v>
      </c>
      <c r="J926" s="114">
        <v>1131.4100000000001</v>
      </c>
      <c r="K926" s="111">
        <f t="shared" si="84"/>
        <v>12095.36</v>
      </c>
      <c r="L926" s="33">
        <f t="shared" si="80"/>
        <v>633.4</v>
      </c>
      <c r="M926" s="62"/>
      <c r="N926" s="2" t="s">
        <v>59</v>
      </c>
      <c r="O926" s="23" t="s">
        <v>133</v>
      </c>
      <c r="P926" s="102">
        <v>308.85000000000002</v>
      </c>
      <c r="Q926" s="1"/>
      <c r="S926" s="4">
        <f>SUM(S917:S922)</f>
        <v>14340</v>
      </c>
    </row>
    <row r="927" spans="1:19" ht="16.5">
      <c r="A927" s="113">
        <f t="shared" si="81"/>
        <v>19</v>
      </c>
      <c r="B927" s="14" t="s">
        <v>49</v>
      </c>
      <c r="C927" s="15" t="s">
        <v>132</v>
      </c>
      <c r="D927" s="33"/>
      <c r="E927" s="111">
        <f t="shared" si="82"/>
        <v>6339.3</v>
      </c>
      <c r="F927" s="115"/>
      <c r="G927" s="113">
        <f t="shared" si="83"/>
        <v>19</v>
      </c>
      <c r="H927" s="116" t="s">
        <v>49</v>
      </c>
      <c r="I927" s="15" t="s">
        <v>132</v>
      </c>
      <c r="J927" s="33"/>
      <c r="K927" s="111">
        <f t="shared" si="84"/>
        <v>12095.36</v>
      </c>
      <c r="L927" s="33"/>
      <c r="M927" s="62"/>
      <c r="N927" s="2" t="s">
        <v>60</v>
      </c>
      <c r="O927" s="26" t="s">
        <v>134</v>
      </c>
      <c r="P927" s="102">
        <v>684.65</v>
      </c>
      <c r="Q927" s="1"/>
    </row>
    <row r="928" spans="1:19" ht="16.5">
      <c r="A928" s="113">
        <f t="shared" si="81"/>
        <v>20</v>
      </c>
      <c r="B928" s="14" t="s">
        <v>50</v>
      </c>
      <c r="C928" s="15" t="s">
        <v>132</v>
      </c>
      <c r="D928" s="33"/>
      <c r="E928" s="111">
        <f t="shared" si="82"/>
        <v>6339.3</v>
      </c>
      <c r="F928" s="115"/>
      <c r="G928" s="113">
        <f t="shared" si="83"/>
        <v>20</v>
      </c>
      <c r="H928" s="116" t="s">
        <v>50</v>
      </c>
      <c r="I928" s="15" t="s">
        <v>132</v>
      </c>
      <c r="J928" s="33"/>
      <c r="K928" s="111">
        <f t="shared" si="84"/>
        <v>12095.36</v>
      </c>
      <c r="L928" s="33"/>
      <c r="M928" s="62"/>
      <c r="N928" s="2" t="s">
        <v>61</v>
      </c>
      <c r="O928" s="15" t="s">
        <v>134</v>
      </c>
      <c r="P928" s="102">
        <v>262.39999999999998</v>
      </c>
      <c r="Q928" s="1"/>
    </row>
    <row r="929" spans="1:17" ht="16.5">
      <c r="A929" s="113">
        <f t="shared" si="81"/>
        <v>21</v>
      </c>
      <c r="B929" s="25" t="s">
        <v>51</v>
      </c>
      <c r="C929" s="81" t="s">
        <v>133</v>
      </c>
      <c r="D929" s="33">
        <f>149.87</f>
        <v>149.87</v>
      </c>
      <c r="E929" s="111">
        <f t="shared" si="82"/>
        <v>6489.17</v>
      </c>
      <c r="F929" s="115"/>
      <c r="G929" s="113">
        <f t="shared" si="83"/>
        <v>21</v>
      </c>
      <c r="H929" s="96" t="s">
        <v>51</v>
      </c>
      <c r="I929" s="26" t="s">
        <v>133</v>
      </c>
      <c r="J929" s="114">
        <v>103.53</v>
      </c>
      <c r="K929" s="111">
        <f t="shared" si="84"/>
        <v>12198.89</v>
      </c>
      <c r="L929" s="33">
        <f t="shared" si="80"/>
        <v>-46.34</v>
      </c>
      <c r="M929" s="62"/>
      <c r="N929" s="2" t="s">
        <v>62</v>
      </c>
      <c r="O929" s="15" t="s">
        <v>134</v>
      </c>
      <c r="P929" s="102">
        <v>374.71</v>
      </c>
      <c r="Q929" s="1"/>
    </row>
    <row r="930" spans="1:17" ht="16.5">
      <c r="A930" s="113">
        <f t="shared" si="81"/>
        <v>22</v>
      </c>
      <c r="B930" s="14" t="s">
        <v>52</v>
      </c>
      <c r="C930" s="15" t="s">
        <v>133</v>
      </c>
      <c r="D930" s="33">
        <v>287</v>
      </c>
      <c r="E930" s="111">
        <f t="shared" si="82"/>
        <v>6776.17</v>
      </c>
      <c r="F930" s="115"/>
      <c r="G930" s="113">
        <f t="shared" si="83"/>
        <v>22</v>
      </c>
      <c r="H930" s="116" t="s">
        <v>52</v>
      </c>
      <c r="I930" s="15" t="s">
        <v>133</v>
      </c>
      <c r="J930" s="114">
        <v>284.3</v>
      </c>
      <c r="K930" s="111">
        <f t="shared" si="84"/>
        <v>12483.19</v>
      </c>
      <c r="L930" s="33">
        <f t="shared" si="80"/>
        <v>-2.69999999999999</v>
      </c>
      <c r="M930" s="62"/>
      <c r="N930" s="2" t="s">
        <v>63</v>
      </c>
      <c r="O930" s="15" t="s">
        <v>134</v>
      </c>
      <c r="P930" s="102">
        <v>-15.3</v>
      </c>
      <c r="Q930" s="1"/>
    </row>
    <row r="931" spans="1:17" ht="16.5">
      <c r="A931" s="113">
        <f t="shared" si="81"/>
        <v>23</v>
      </c>
      <c r="B931" s="14" t="s">
        <v>53</v>
      </c>
      <c r="C931" s="15" t="s">
        <v>133</v>
      </c>
      <c r="D931" s="33"/>
      <c r="E931" s="111">
        <f t="shared" si="82"/>
        <v>6776.17</v>
      </c>
      <c r="F931" s="115"/>
      <c r="G931" s="113">
        <f t="shared" si="83"/>
        <v>23</v>
      </c>
      <c r="H931" s="116" t="s">
        <v>53</v>
      </c>
      <c r="I931" s="15" t="s">
        <v>133</v>
      </c>
      <c r="J931" s="33"/>
      <c r="K931" s="111">
        <f t="shared" si="84"/>
        <v>12483.19</v>
      </c>
      <c r="L931" s="33"/>
      <c r="M931" s="62"/>
      <c r="N931" s="2" t="s">
        <v>64</v>
      </c>
      <c r="O931" s="15" t="s">
        <v>134</v>
      </c>
      <c r="P931" s="102">
        <v>1058.4100000000001</v>
      </c>
      <c r="Q931" s="1"/>
    </row>
    <row r="932" spans="1:17" ht="16.5">
      <c r="A932" s="113">
        <f t="shared" si="81"/>
        <v>24</v>
      </c>
      <c r="B932" s="14" t="s">
        <v>54</v>
      </c>
      <c r="C932" s="15" t="s">
        <v>133</v>
      </c>
      <c r="D932" s="33"/>
      <c r="E932" s="111">
        <f t="shared" si="82"/>
        <v>6776.17</v>
      </c>
      <c r="F932" s="115"/>
      <c r="G932" s="113">
        <f t="shared" si="83"/>
        <v>24</v>
      </c>
      <c r="H932" s="116" t="s">
        <v>54</v>
      </c>
      <c r="I932" s="15" t="s">
        <v>133</v>
      </c>
      <c r="J932" s="33"/>
      <c r="K932" s="111">
        <f t="shared" si="84"/>
        <v>12483.19</v>
      </c>
      <c r="L932" s="33"/>
      <c r="M932" s="62"/>
      <c r="N932" s="2" t="s">
        <v>65</v>
      </c>
      <c r="O932" s="15" t="s">
        <v>134</v>
      </c>
      <c r="P932" s="102">
        <v>-1427.5</v>
      </c>
      <c r="Q932" s="1"/>
    </row>
    <row r="933" spans="1:17" ht="16.5">
      <c r="A933" s="113">
        <f t="shared" si="81"/>
        <v>25</v>
      </c>
      <c r="B933" s="43" t="s">
        <v>58</v>
      </c>
      <c r="C933" s="15" t="s">
        <v>133</v>
      </c>
      <c r="D933" s="33"/>
      <c r="E933" s="111">
        <f t="shared" si="82"/>
        <v>6776.17</v>
      </c>
      <c r="F933" s="115"/>
      <c r="G933" s="113">
        <f t="shared" si="83"/>
        <v>25</v>
      </c>
      <c r="H933" s="117" t="s">
        <v>58</v>
      </c>
      <c r="I933" s="15" t="s">
        <v>133</v>
      </c>
      <c r="J933" s="33"/>
      <c r="K933" s="111">
        <f t="shared" si="84"/>
        <v>12483.19</v>
      </c>
      <c r="L933" s="33"/>
      <c r="M933" s="62"/>
      <c r="N933" s="2" t="s">
        <v>66</v>
      </c>
      <c r="O933" s="15" t="s">
        <v>134</v>
      </c>
      <c r="P933" s="102">
        <v>786.75</v>
      </c>
      <c r="Q933" s="1"/>
    </row>
    <row r="934" spans="1:17" ht="16.5">
      <c r="A934" s="113">
        <f t="shared" si="81"/>
        <v>26</v>
      </c>
      <c r="B934" s="25" t="s">
        <v>59</v>
      </c>
      <c r="C934" s="15" t="s">
        <v>134</v>
      </c>
      <c r="D934" s="33">
        <v>92.35</v>
      </c>
      <c r="E934" s="111">
        <f t="shared" si="82"/>
        <v>6868.52</v>
      </c>
      <c r="F934" s="115"/>
      <c r="G934" s="113">
        <f t="shared" si="83"/>
        <v>26</v>
      </c>
      <c r="H934" s="96" t="s">
        <v>59</v>
      </c>
      <c r="I934" s="26" t="s">
        <v>134</v>
      </c>
      <c r="J934" s="114">
        <v>308.85000000000002</v>
      </c>
      <c r="K934" s="111">
        <f t="shared" si="84"/>
        <v>12792.04</v>
      </c>
      <c r="L934" s="33">
        <f t="shared" si="80"/>
        <v>216.5</v>
      </c>
      <c r="M934" s="62"/>
      <c r="N934" s="2" t="s">
        <v>67</v>
      </c>
      <c r="O934" s="23" t="s">
        <v>134</v>
      </c>
      <c r="P934" s="102">
        <v>-1553.52</v>
      </c>
      <c r="Q934" s="1"/>
    </row>
    <row r="935" spans="1:17" ht="16.5">
      <c r="A935" s="113">
        <f t="shared" si="81"/>
        <v>27</v>
      </c>
      <c r="B935" s="2" t="s">
        <v>60</v>
      </c>
      <c r="C935" s="26" t="s">
        <v>134</v>
      </c>
      <c r="D935" s="33">
        <v>725.65</v>
      </c>
      <c r="E935" s="111">
        <f t="shared" si="82"/>
        <v>7594.17</v>
      </c>
      <c r="F935" s="80"/>
      <c r="G935" s="113">
        <f t="shared" si="83"/>
        <v>27</v>
      </c>
      <c r="H935" s="116" t="s">
        <v>60</v>
      </c>
      <c r="I935" s="15" t="s">
        <v>134</v>
      </c>
      <c r="J935" s="114">
        <v>684.65</v>
      </c>
      <c r="K935" s="111">
        <f t="shared" si="84"/>
        <v>13476.69</v>
      </c>
      <c r="L935" s="33">
        <f t="shared" si="80"/>
        <v>-41</v>
      </c>
      <c r="N935" s="2" t="s">
        <v>68</v>
      </c>
      <c r="O935" s="26" t="s">
        <v>135</v>
      </c>
      <c r="P935" s="102">
        <v>-2752.21</v>
      </c>
      <c r="Q935" s="1"/>
    </row>
    <row r="936" spans="1:17" ht="16.5">
      <c r="A936" s="113">
        <f t="shared" si="81"/>
        <v>28</v>
      </c>
      <c r="B936" s="14" t="s">
        <v>61</v>
      </c>
      <c r="C936" s="15" t="s">
        <v>134</v>
      </c>
      <c r="D936" s="33">
        <v>198.6</v>
      </c>
      <c r="E936" s="111">
        <f t="shared" si="82"/>
        <v>7792.77</v>
      </c>
      <c r="F936" s="115"/>
      <c r="G936" s="113">
        <f t="shared" si="83"/>
        <v>28</v>
      </c>
      <c r="H936" s="116" t="s">
        <v>61</v>
      </c>
      <c r="I936" s="15" t="s">
        <v>134</v>
      </c>
      <c r="J936" s="114">
        <v>262.39999999999998</v>
      </c>
      <c r="K936" s="111">
        <f t="shared" si="84"/>
        <v>13739.09</v>
      </c>
      <c r="L936" s="33">
        <f t="shared" si="80"/>
        <v>63.8</v>
      </c>
      <c r="M936" s="62"/>
      <c r="N936" s="2" t="s">
        <v>69</v>
      </c>
      <c r="O936" s="15" t="s">
        <v>135</v>
      </c>
      <c r="P936" s="102">
        <v>-890.66</v>
      </c>
      <c r="Q936" s="1"/>
    </row>
    <row r="937" spans="1:17" ht="16.5">
      <c r="A937" s="113">
        <f t="shared" si="81"/>
        <v>29</v>
      </c>
      <c r="B937" s="14" t="s">
        <v>62</v>
      </c>
      <c r="C937" s="15" t="s">
        <v>134</v>
      </c>
      <c r="D937" s="33">
        <v>161.51</v>
      </c>
      <c r="E937" s="111">
        <f t="shared" si="82"/>
        <v>7954.28</v>
      </c>
      <c r="F937" s="115"/>
      <c r="G937" s="113">
        <f t="shared" si="83"/>
        <v>29</v>
      </c>
      <c r="H937" s="116" t="s">
        <v>62</v>
      </c>
      <c r="I937" s="15" t="s">
        <v>134</v>
      </c>
      <c r="J937" s="114">
        <v>374.71</v>
      </c>
      <c r="K937" s="111">
        <f t="shared" si="84"/>
        <v>14113.8</v>
      </c>
      <c r="L937" s="33">
        <f t="shared" si="80"/>
        <v>213.2</v>
      </c>
      <c r="M937" s="62"/>
      <c r="N937" s="2" t="s">
        <v>70</v>
      </c>
      <c r="O937" s="23" t="s">
        <v>135</v>
      </c>
      <c r="P937" s="102">
        <v>-9520.2800000000007</v>
      </c>
      <c r="Q937" s="1"/>
    </row>
    <row r="938" spans="1:17" ht="16.5">
      <c r="A938" s="113">
        <f t="shared" si="81"/>
        <v>30</v>
      </c>
      <c r="B938" s="14" t="s">
        <v>63</v>
      </c>
      <c r="C938" s="15" t="s">
        <v>134</v>
      </c>
      <c r="D938" s="33">
        <v>18.5</v>
      </c>
      <c r="E938" s="111">
        <f t="shared" si="82"/>
        <v>7972.78</v>
      </c>
      <c r="F938" s="115"/>
      <c r="G938" s="113">
        <f t="shared" si="83"/>
        <v>30</v>
      </c>
      <c r="H938" s="116" t="s">
        <v>63</v>
      </c>
      <c r="I938" s="15" t="s">
        <v>134</v>
      </c>
      <c r="J938" s="33"/>
      <c r="K938" s="111">
        <f t="shared" si="84"/>
        <v>14113.8</v>
      </c>
      <c r="L938" s="33">
        <f t="shared" si="80"/>
        <v>-18.5</v>
      </c>
      <c r="M938" s="62"/>
      <c r="N938" s="2" t="s">
        <v>71</v>
      </c>
      <c r="O938" s="26" t="s">
        <v>137</v>
      </c>
      <c r="P938" s="102">
        <v>-4442.25</v>
      </c>
      <c r="Q938" s="1"/>
    </row>
    <row r="939" spans="1:17" ht="16.5">
      <c r="A939" s="113">
        <f t="shared" si="81"/>
        <v>31</v>
      </c>
      <c r="B939" s="14" t="s">
        <v>64</v>
      </c>
      <c r="C939" s="15" t="s">
        <v>134</v>
      </c>
      <c r="D939" s="33">
        <v>731.91</v>
      </c>
      <c r="E939" s="111">
        <f t="shared" si="82"/>
        <v>8704.69</v>
      </c>
      <c r="F939" s="115"/>
      <c r="G939" s="113">
        <f t="shared" si="83"/>
        <v>31</v>
      </c>
      <c r="H939" s="116" t="s">
        <v>64</v>
      </c>
      <c r="I939" s="15" t="s">
        <v>134</v>
      </c>
      <c r="J939" s="114">
        <v>1058.4100000000001</v>
      </c>
      <c r="K939" s="111">
        <f t="shared" si="84"/>
        <v>15172.21</v>
      </c>
      <c r="L939" s="33">
        <f t="shared" si="80"/>
        <v>326.5</v>
      </c>
      <c r="M939" s="62"/>
      <c r="N939" s="2" t="s">
        <v>72</v>
      </c>
      <c r="O939" s="15" t="s">
        <v>137</v>
      </c>
      <c r="P939" s="102">
        <v>375.84</v>
      </c>
      <c r="Q939" s="1"/>
    </row>
    <row r="940" spans="1:17" ht="16.5">
      <c r="A940" s="113">
        <f t="shared" si="81"/>
        <v>32</v>
      </c>
      <c r="B940" s="100" t="s">
        <v>65</v>
      </c>
      <c r="C940" s="15" t="s">
        <v>134</v>
      </c>
      <c r="D940" s="33"/>
      <c r="E940" s="111">
        <f t="shared" si="82"/>
        <v>8704.69</v>
      </c>
      <c r="F940" s="115"/>
      <c r="G940" s="113">
        <f t="shared" si="83"/>
        <v>32</v>
      </c>
      <c r="H940" s="101" t="s">
        <v>65</v>
      </c>
      <c r="I940" s="15" t="s">
        <v>134</v>
      </c>
      <c r="J940" s="33"/>
      <c r="K940" s="111">
        <f t="shared" si="84"/>
        <v>15172.21</v>
      </c>
      <c r="L940" s="33">
        <f t="shared" si="80"/>
        <v>0</v>
      </c>
      <c r="M940" s="62"/>
      <c r="N940" s="2" t="s">
        <v>73</v>
      </c>
      <c r="O940" s="15" t="s">
        <v>137</v>
      </c>
      <c r="P940" s="102"/>
      <c r="Q940" s="1"/>
    </row>
    <row r="941" spans="1:17" ht="16.5">
      <c r="A941" s="113">
        <f t="shared" si="81"/>
        <v>33</v>
      </c>
      <c r="B941" s="100" t="s">
        <v>66</v>
      </c>
      <c r="C941" s="15" t="s">
        <v>134</v>
      </c>
      <c r="D941" s="33">
        <v>815.35</v>
      </c>
      <c r="E941" s="111">
        <f t="shared" si="82"/>
        <v>9520.0400000000009</v>
      </c>
      <c r="F941" s="115"/>
      <c r="G941" s="113">
        <f t="shared" si="83"/>
        <v>33</v>
      </c>
      <c r="H941" s="101" t="s">
        <v>66</v>
      </c>
      <c r="I941" s="15" t="s">
        <v>134</v>
      </c>
      <c r="J941" s="114">
        <v>786.75</v>
      </c>
      <c r="K941" s="111">
        <f t="shared" si="84"/>
        <v>15958.96</v>
      </c>
      <c r="L941" s="33">
        <f t="shared" si="80"/>
        <v>-28.6</v>
      </c>
      <c r="M941" s="62"/>
      <c r="N941" s="2" t="s">
        <v>74</v>
      </c>
      <c r="O941" s="15" t="s">
        <v>137</v>
      </c>
      <c r="P941" s="102">
        <v>-21084.799999999999</v>
      </c>
      <c r="Q941" s="1"/>
    </row>
    <row r="942" spans="1:17" ht="16.5">
      <c r="A942" s="113">
        <f t="shared" si="81"/>
        <v>34</v>
      </c>
      <c r="B942" s="25" t="s">
        <v>67</v>
      </c>
      <c r="C942" s="15" t="s">
        <v>134</v>
      </c>
      <c r="D942" s="33"/>
      <c r="E942" s="111">
        <f t="shared" si="82"/>
        <v>9520.0400000000009</v>
      </c>
      <c r="F942" s="80"/>
      <c r="G942" s="113">
        <f t="shared" si="83"/>
        <v>34</v>
      </c>
      <c r="H942" s="96" t="s">
        <v>67</v>
      </c>
      <c r="I942" s="15" t="s">
        <v>134</v>
      </c>
      <c r="J942" s="33"/>
      <c r="K942" s="111">
        <f t="shared" si="84"/>
        <v>15958.96</v>
      </c>
      <c r="L942" s="33"/>
      <c r="N942" s="2" t="s">
        <v>75</v>
      </c>
      <c r="O942" s="15" t="s">
        <v>137</v>
      </c>
      <c r="P942" s="102">
        <v>-31914.63</v>
      </c>
      <c r="Q942" s="1"/>
    </row>
    <row r="943" spans="1:17" ht="16.5">
      <c r="A943" s="113">
        <f t="shared" si="81"/>
        <v>35</v>
      </c>
      <c r="B943" s="2" t="s">
        <v>69</v>
      </c>
      <c r="C943" s="15" t="s">
        <v>134</v>
      </c>
      <c r="D943" s="33"/>
      <c r="E943" s="111">
        <f t="shared" si="82"/>
        <v>9520.0400000000009</v>
      </c>
      <c r="F943" s="80"/>
      <c r="G943" s="113">
        <f t="shared" si="83"/>
        <v>35</v>
      </c>
      <c r="H943" s="8" t="s">
        <v>69</v>
      </c>
      <c r="I943" s="15" t="s">
        <v>134</v>
      </c>
      <c r="J943" s="33"/>
      <c r="K943" s="111">
        <f t="shared" si="84"/>
        <v>15958.96</v>
      </c>
      <c r="L943" s="33"/>
      <c r="N943" s="2" t="s">
        <v>76</v>
      </c>
      <c r="O943" s="15" t="s">
        <v>137</v>
      </c>
      <c r="P943" s="102">
        <v>-127188.94</v>
      </c>
      <c r="Q943" s="1"/>
    </row>
    <row r="944" spans="1:17" ht="16.5">
      <c r="A944" s="113">
        <f t="shared" si="81"/>
        <v>36</v>
      </c>
      <c r="B944" s="25" t="s">
        <v>136</v>
      </c>
      <c r="C944" s="23" t="s">
        <v>134</v>
      </c>
      <c r="D944" s="33"/>
      <c r="E944" s="111">
        <f t="shared" si="82"/>
        <v>9520.0400000000009</v>
      </c>
      <c r="F944" s="115"/>
      <c r="G944" s="113">
        <f t="shared" si="83"/>
        <v>36</v>
      </c>
      <c r="H944" s="96" t="s">
        <v>136</v>
      </c>
      <c r="I944" s="26" t="s">
        <v>137</v>
      </c>
      <c r="J944" s="33"/>
      <c r="K944" s="111">
        <f t="shared" si="84"/>
        <v>15958.96</v>
      </c>
      <c r="L944" s="33"/>
      <c r="M944" s="62"/>
      <c r="N944" s="2" t="s">
        <v>77</v>
      </c>
      <c r="O944" s="23" t="s">
        <v>137</v>
      </c>
      <c r="P944" s="102">
        <v>-80</v>
      </c>
      <c r="Q944" s="1"/>
    </row>
    <row r="945" spans="1:17" ht="16.5">
      <c r="A945" s="113">
        <f t="shared" si="81"/>
        <v>37</v>
      </c>
      <c r="B945" s="14" t="s">
        <v>71</v>
      </c>
      <c r="C945" s="15" t="s">
        <v>134</v>
      </c>
      <c r="D945" s="33"/>
      <c r="E945" s="111">
        <f t="shared" si="82"/>
        <v>9520.0400000000009</v>
      </c>
      <c r="F945" s="115"/>
      <c r="G945" s="113">
        <f t="shared" si="83"/>
        <v>37</v>
      </c>
      <c r="H945" s="116" t="s">
        <v>71</v>
      </c>
      <c r="I945" s="15" t="s">
        <v>134</v>
      </c>
      <c r="J945" s="33"/>
      <c r="K945" s="111">
        <f t="shared" si="84"/>
        <v>15958.96</v>
      </c>
      <c r="L945" s="33"/>
      <c r="M945" s="62"/>
      <c r="N945" s="2" t="s">
        <v>78</v>
      </c>
      <c r="O945" s="26" t="s">
        <v>139</v>
      </c>
      <c r="P945" s="102">
        <v>-10198.469999999999</v>
      </c>
      <c r="Q945" s="1"/>
    </row>
    <row r="946" spans="1:17" ht="16.5">
      <c r="A946" s="113">
        <f t="shared" si="81"/>
        <v>38</v>
      </c>
      <c r="B946" s="2" t="s">
        <v>72</v>
      </c>
      <c r="C946" s="15" t="s">
        <v>137</v>
      </c>
      <c r="D946" s="33"/>
      <c r="E946" s="111">
        <f t="shared" si="82"/>
        <v>9520.0400000000009</v>
      </c>
      <c r="F946" s="80"/>
      <c r="G946" s="113">
        <f t="shared" si="83"/>
        <v>38</v>
      </c>
      <c r="H946" s="101" t="s">
        <v>72</v>
      </c>
      <c r="I946" s="15" t="s">
        <v>137</v>
      </c>
      <c r="J946" s="114">
        <v>375.84</v>
      </c>
      <c r="K946" s="111">
        <f t="shared" si="84"/>
        <v>16334.8</v>
      </c>
      <c r="L946" s="33">
        <f t="shared" si="80"/>
        <v>375.84</v>
      </c>
      <c r="N946" s="2" t="s">
        <v>79</v>
      </c>
      <c r="O946" s="15" t="s">
        <v>139</v>
      </c>
      <c r="P946" s="102">
        <v>-2166.56</v>
      </c>
      <c r="Q946" s="1"/>
    </row>
    <row r="947" spans="1:17" ht="16.5">
      <c r="A947" s="113">
        <f t="shared" si="81"/>
        <v>39</v>
      </c>
      <c r="B947" s="43" t="s">
        <v>76</v>
      </c>
      <c r="C947" s="82" t="s">
        <v>137</v>
      </c>
      <c r="D947" s="33"/>
      <c r="E947" s="111">
        <f t="shared" si="82"/>
        <v>9520.0400000000009</v>
      </c>
      <c r="F947" s="115"/>
      <c r="G947" s="113">
        <f t="shared" si="83"/>
        <v>39</v>
      </c>
      <c r="H947" s="117" t="s">
        <v>76</v>
      </c>
      <c r="I947" s="82" t="s">
        <v>137</v>
      </c>
      <c r="J947" s="33"/>
      <c r="K947" s="111">
        <f t="shared" si="84"/>
        <v>16334.8</v>
      </c>
      <c r="L947" s="33"/>
      <c r="M947" s="62"/>
      <c r="N947" s="2" t="s">
        <v>80</v>
      </c>
      <c r="O947" s="15" t="s">
        <v>139</v>
      </c>
      <c r="P947" s="102">
        <v>227.46</v>
      </c>
      <c r="Q947" s="1"/>
    </row>
    <row r="948" spans="1:17" ht="16.5">
      <c r="A948" s="113">
        <f t="shared" si="81"/>
        <v>40</v>
      </c>
      <c r="B948" s="25" t="s">
        <v>77</v>
      </c>
      <c r="C948" s="26" t="s">
        <v>139</v>
      </c>
      <c r="D948" s="33"/>
      <c r="E948" s="111">
        <f t="shared" si="82"/>
        <v>9520.0400000000009</v>
      </c>
      <c r="F948" s="115"/>
      <c r="G948" s="113">
        <f t="shared" si="83"/>
        <v>40</v>
      </c>
      <c r="H948" s="96" t="s">
        <v>77</v>
      </c>
      <c r="I948" s="26" t="s">
        <v>139</v>
      </c>
      <c r="J948" s="33"/>
      <c r="K948" s="111">
        <f t="shared" si="84"/>
        <v>16334.8</v>
      </c>
      <c r="L948" s="33"/>
      <c r="M948" s="62"/>
      <c r="N948" s="2" t="s">
        <v>81</v>
      </c>
      <c r="O948" s="15" t="s">
        <v>139</v>
      </c>
      <c r="P948" s="102">
        <v>750.3</v>
      </c>
      <c r="Q948" s="1"/>
    </row>
    <row r="949" spans="1:17" ht="16.5">
      <c r="A949" s="113">
        <f t="shared" si="81"/>
        <v>41</v>
      </c>
      <c r="B949" s="14" t="s">
        <v>78</v>
      </c>
      <c r="C949" s="15" t="s">
        <v>139</v>
      </c>
      <c r="D949" s="33"/>
      <c r="E949" s="111">
        <f t="shared" si="82"/>
        <v>9520.0400000000009</v>
      </c>
      <c r="F949" s="115"/>
      <c r="G949" s="113">
        <f t="shared" si="83"/>
        <v>41</v>
      </c>
      <c r="H949" s="116" t="s">
        <v>78</v>
      </c>
      <c r="I949" s="15" t="s">
        <v>139</v>
      </c>
      <c r="J949" s="33"/>
      <c r="K949" s="111">
        <f t="shared" si="84"/>
        <v>16334.8</v>
      </c>
      <c r="L949" s="33"/>
      <c r="M949" s="62"/>
      <c r="N949" s="2" t="s">
        <v>82</v>
      </c>
      <c r="O949" s="15" t="s">
        <v>139</v>
      </c>
      <c r="P949" s="102">
        <v>-3761.3</v>
      </c>
      <c r="Q949" s="1"/>
    </row>
    <row r="950" spans="1:17" ht="16.5">
      <c r="A950" s="113">
        <f t="shared" si="81"/>
        <v>42</v>
      </c>
      <c r="B950" s="14" t="s">
        <v>79</v>
      </c>
      <c r="C950" s="15" t="s">
        <v>139</v>
      </c>
      <c r="D950" s="33"/>
      <c r="E950" s="111">
        <f t="shared" si="82"/>
        <v>9520.0400000000009</v>
      </c>
      <c r="F950" s="115"/>
      <c r="G950" s="113">
        <f t="shared" si="83"/>
        <v>42</v>
      </c>
      <c r="H950" s="116" t="s">
        <v>79</v>
      </c>
      <c r="I950" s="15" t="s">
        <v>139</v>
      </c>
      <c r="J950" s="33"/>
      <c r="K950" s="111">
        <f t="shared" si="84"/>
        <v>16334.8</v>
      </c>
      <c r="L950" s="33"/>
      <c r="M950" s="62"/>
      <c r="N950" s="2" t="s">
        <v>83</v>
      </c>
      <c r="O950" s="15" t="s">
        <v>139</v>
      </c>
      <c r="P950" s="102">
        <v>-463.95</v>
      </c>
      <c r="Q950" s="1"/>
    </row>
    <row r="951" spans="1:17" ht="16.5">
      <c r="A951" s="113">
        <f t="shared" si="81"/>
        <v>43</v>
      </c>
      <c r="B951" s="25" t="s">
        <v>80</v>
      </c>
      <c r="C951" s="15" t="s">
        <v>139</v>
      </c>
      <c r="D951" s="33">
        <v>214.26</v>
      </c>
      <c r="E951" s="111">
        <f t="shared" si="82"/>
        <v>9734.2999999999993</v>
      </c>
      <c r="F951" s="115"/>
      <c r="G951" s="113">
        <f t="shared" si="83"/>
        <v>43</v>
      </c>
      <c r="H951" s="116" t="s">
        <v>80</v>
      </c>
      <c r="I951" s="15" t="s">
        <v>139</v>
      </c>
      <c r="J951" s="114">
        <v>227.46</v>
      </c>
      <c r="K951" s="111">
        <f t="shared" si="84"/>
        <v>16562.259999999998</v>
      </c>
      <c r="L951" s="33">
        <f t="shared" si="80"/>
        <v>13.2</v>
      </c>
      <c r="M951" s="62"/>
      <c r="N951" s="2" t="s">
        <v>84</v>
      </c>
      <c r="O951" s="15" t="s">
        <v>139</v>
      </c>
      <c r="P951" s="102">
        <v>222.75</v>
      </c>
      <c r="Q951" s="1"/>
    </row>
    <row r="952" spans="1:17" ht="16.5">
      <c r="A952" s="113">
        <f t="shared" si="81"/>
        <v>44</v>
      </c>
      <c r="B952" s="14" t="s">
        <v>81</v>
      </c>
      <c r="C952" s="15" t="s">
        <v>139</v>
      </c>
      <c r="D952" s="33">
        <v>710.4</v>
      </c>
      <c r="E952" s="111">
        <f t="shared" si="82"/>
        <v>10444.700000000001</v>
      </c>
      <c r="F952" s="115"/>
      <c r="G952" s="113">
        <f t="shared" si="83"/>
        <v>44</v>
      </c>
      <c r="H952" s="116" t="s">
        <v>81</v>
      </c>
      <c r="I952" s="15" t="s">
        <v>139</v>
      </c>
      <c r="J952" s="114">
        <v>750.3</v>
      </c>
      <c r="K952" s="111">
        <f t="shared" si="84"/>
        <v>17312.560000000001</v>
      </c>
      <c r="L952" s="33">
        <f t="shared" si="80"/>
        <v>39.9</v>
      </c>
      <c r="M952" s="62"/>
      <c r="N952" s="2" t="s">
        <v>85</v>
      </c>
      <c r="O952" s="15" t="s">
        <v>139</v>
      </c>
      <c r="P952" s="102">
        <v>-21591.279999999999</v>
      </c>
      <c r="Q952" s="1"/>
    </row>
    <row r="953" spans="1:17" ht="16.5">
      <c r="A953" s="113">
        <f t="shared" si="81"/>
        <v>45</v>
      </c>
      <c r="B953" s="14" t="s">
        <v>82</v>
      </c>
      <c r="C953" s="15" t="s">
        <v>139</v>
      </c>
      <c r="D953" s="33"/>
      <c r="E953" s="111">
        <f t="shared" si="82"/>
        <v>10444.700000000001</v>
      </c>
      <c r="F953" s="115"/>
      <c r="G953" s="113">
        <f t="shared" si="83"/>
        <v>45</v>
      </c>
      <c r="H953" s="116" t="s">
        <v>82</v>
      </c>
      <c r="I953" s="15" t="s">
        <v>139</v>
      </c>
      <c r="J953" s="33"/>
      <c r="K953" s="111">
        <f t="shared" si="84"/>
        <v>17312.560000000001</v>
      </c>
      <c r="L953" s="33"/>
      <c r="M953" s="62"/>
      <c r="N953" s="2" t="s">
        <v>86</v>
      </c>
      <c r="O953" s="15" t="s">
        <v>139</v>
      </c>
      <c r="P953" s="102">
        <v>93.2</v>
      </c>
      <c r="Q953" s="1"/>
    </row>
    <row r="954" spans="1:17" ht="16.5">
      <c r="A954" s="113">
        <f t="shared" si="81"/>
        <v>46</v>
      </c>
      <c r="B954" s="14" t="s">
        <v>83</v>
      </c>
      <c r="C954" s="15" t="s">
        <v>139</v>
      </c>
      <c r="D954" s="33"/>
      <c r="E954" s="111">
        <f t="shared" si="82"/>
        <v>10444.700000000001</v>
      </c>
      <c r="F954" s="115"/>
      <c r="G954" s="113">
        <f t="shared" si="83"/>
        <v>46</v>
      </c>
      <c r="H954" s="116" t="s">
        <v>83</v>
      </c>
      <c r="I954" s="15" t="s">
        <v>139</v>
      </c>
      <c r="J954" s="33"/>
      <c r="K954" s="111">
        <f t="shared" si="84"/>
        <v>17312.560000000001</v>
      </c>
      <c r="L954" s="33"/>
      <c r="M954" s="62"/>
      <c r="N954" s="2" t="s">
        <v>87</v>
      </c>
      <c r="O954" s="15" t="s">
        <v>139</v>
      </c>
      <c r="P954" s="102">
        <v>-3654.6</v>
      </c>
      <c r="Q954" s="1"/>
    </row>
    <row r="955" spans="1:17" ht="16.5">
      <c r="A955" s="113">
        <f t="shared" si="81"/>
        <v>47</v>
      </c>
      <c r="B955" s="14" t="s">
        <v>85</v>
      </c>
      <c r="C955" s="15" t="s">
        <v>139</v>
      </c>
      <c r="D955" s="33"/>
      <c r="E955" s="111">
        <f t="shared" si="82"/>
        <v>10444.700000000001</v>
      </c>
      <c r="F955" s="80"/>
      <c r="G955" s="113">
        <f t="shared" si="83"/>
        <v>47</v>
      </c>
      <c r="H955" s="116" t="s">
        <v>85</v>
      </c>
      <c r="I955" s="15" t="s">
        <v>139</v>
      </c>
      <c r="J955" s="33"/>
      <c r="K955" s="111">
        <f t="shared" si="84"/>
        <v>17312.560000000001</v>
      </c>
      <c r="L955" s="33"/>
      <c r="M955" s="62"/>
      <c r="N955" s="2" t="s">
        <v>88</v>
      </c>
      <c r="O955" s="23" t="s">
        <v>139</v>
      </c>
      <c r="P955" s="102">
        <v>-32408.6</v>
      </c>
      <c r="Q955" s="1"/>
    </row>
    <row r="956" spans="1:17" ht="16.5">
      <c r="A956" s="113">
        <f t="shared" si="81"/>
        <v>48</v>
      </c>
      <c r="B956" s="14" t="s">
        <v>84</v>
      </c>
      <c r="C956" s="15" t="s">
        <v>139</v>
      </c>
      <c r="D956" s="33"/>
      <c r="E956" s="111">
        <f t="shared" si="82"/>
        <v>10444.700000000001</v>
      </c>
      <c r="F956" s="115"/>
      <c r="G956" s="113">
        <f t="shared" si="83"/>
        <v>48</v>
      </c>
      <c r="H956" s="116" t="s">
        <v>84</v>
      </c>
      <c r="I956" s="15" t="s">
        <v>139</v>
      </c>
      <c r="J956" s="114">
        <v>222.75</v>
      </c>
      <c r="K956" s="111">
        <f t="shared" si="84"/>
        <v>17535.310000000001</v>
      </c>
      <c r="L956" s="33">
        <f t="shared" si="80"/>
        <v>222.75</v>
      </c>
      <c r="M956" s="62"/>
      <c r="N956" s="2" t="s">
        <v>89</v>
      </c>
      <c r="O956" s="26" t="s">
        <v>141</v>
      </c>
      <c r="P956" s="102">
        <v>-633.29999999999995</v>
      </c>
      <c r="Q956" s="1"/>
    </row>
    <row r="957" spans="1:17" ht="16.5">
      <c r="A957" s="113">
        <f t="shared" si="81"/>
        <v>49</v>
      </c>
      <c r="B957" s="14" t="s">
        <v>86</v>
      </c>
      <c r="C957" s="15" t="s">
        <v>139</v>
      </c>
      <c r="D957" s="33">
        <v>55.7</v>
      </c>
      <c r="E957" s="111">
        <f t="shared" si="82"/>
        <v>10500.4</v>
      </c>
      <c r="F957" s="115"/>
      <c r="G957" s="113">
        <f t="shared" si="83"/>
        <v>49</v>
      </c>
      <c r="H957" s="116" t="s">
        <v>86</v>
      </c>
      <c r="I957" s="23" t="s">
        <v>139</v>
      </c>
      <c r="J957" s="114">
        <v>93.2</v>
      </c>
      <c r="K957" s="111">
        <f t="shared" si="84"/>
        <v>17628.509999999998</v>
      </c>
      <c r="L957" s="33">
        <f t="shared" si="80"/>
        <v>37.5</v>
      </c>
      <c r="M957" s="62"/>
      <c r="N957" s="2" t="s">
        <v>90</v>
      </c>
      <c r="O957" s="15" t="s">
        <v>141</v>
      </c>
      <c r="P957" s="102">
        <v>-5823.3</v>
      </c>
      <c r="Q957" s="1"/>
    </row>
    <row r="958" spans="1:17" ht="16.5">
      <c r="A958" s="113">
        <f t="shared" si="81"/>
        <v>50</v>
      </c>
      <c r="B958" s="43" t="s">
        <v>87</v>
      </c>
      <c r="C958" s="23" t="s">
        <v>139</v>
      </c>
      <c r="D958" s="33"/>
      <c r="E958" s="111">
        <f t="shared" si="82"/>
        <v>10500.4</v>
      </c>
      <c r="F958" s="115"/>
      <c r="G958" s="113">
        <f t="shared" si="83"/>
        <v>50</v>
      </c>
      <c r="H958" s="117" t="s">
        <v>87</v>
      </c>
      <c r="I958" s="23" t="s">
        <v>139</v>
      </c>
      <c r="J958" s="33"/>
      <c r="K958" s="111">
        <f t="shared" si="84"/>
        <v>17628.509999999998</v>
      </c>
      <c r="L958" s="33"/>
      <c r="M958" s="62"/>
      <c r="N958" s="2" t="s">
        <v>91</v>
      </c>
      <c r="O958" s="15" t="s">
        <v>141</v>
      </c>
      <c r="P958" s="102">
        <v>2570.13</v>
      </c>
      <c r="Q958" s="1"/>
    </row>
    <row r="959" spans="1:17" ht="16.5">
      <c r="A959" s="113">
        <f t="shared" si="81"/>
        <v>51</v>
      </c>
      <c r="B959" s="14" t="s">
        <v>89</v>
      </c>
      <c r="C959" s="15" t="s">
        <v>141</v>
      </c>
      <c r="D959" s="33"/>
      <c r="E959" s="111">
        <f t="shared" si="82"/>
        <v>10500.4</v>
      </c>
      <c r="F959" s="115"/>
      <c r="G959" s="113">
        <f t="shared" si="83"/>
        <v>51</v>
      </c>
      <c r="H959" s="116" t="s">
        <v>89</v>
      </c>
      <c r="I959" s="15" t="s">
        <v>141</v>
      </c>
      <c r="J959" s="33"/>
      <c r="K959" s="111">
        <f t="shared" si="84"/>
        <v>17628.509999999998</v>
      </c>
      <c r="L959" s="33"/>
      <c r="M959" s="62"/>
      <c r="N959" s="2" t="s">
        <v>92</v>
      </c>
      <c r="O959" s="15" t="s">
        <v>141</v>
      </c>
      <c r="P959" s="102">
        <v>373.11</v>
      </c>
      <c r="Q959" s="1"/>
    </row>
    <row r="960" spans="1:17" ht="16.5">
      <c r="A960" s="113">
        <f t="shared" si="81"/>
        <v>52</v>
      </c>
      <c r="B960" s="14" t="s">
        <v>90</v>
      </c>
      <c r="C960" s="15" t="s">
        <v>141</v>
      </c>
      <c r="D960" s="33"/>
      <c r="E960" s="111">
        <f t="shared" si="82"/>
        <v>10500.4</v>
      </c>
      <c r="F960" s="115"/>
      <c r="G960" s="113">
        <f t="shared" si="83"/>
        <v>52</v>
      </c>
      <c r="H960" s="116" t="s">
        <v>90</v>
      </c>
      <c r="I960" s="15" t="s">
        <v>141</v>
      </c>
      <c r="J960" s="33"/>
      <c r="K960" s="111">
        <f t="shared" si="84"/>
        <v>17628.509999999998</v>
      </c>
      <c r="L960" s="33"/>
      <c r="M960" s="62"/>
      <c r="N960" s="2" t="s">
        <v>93</v>
      </c>
      <c r="O960" s="15" t="s">
        <v>141</v>
      </c>
      <c r="P960" s="102">
        <v>-50821.2</v>
      </c>
      <c r="Q960" s="1"/>
    </row>
    <row r="961" spans="1:17" ht="16.5">
      <c r="A961" s="113">
        <f t="shared" si="81"/>
        <v>53</v>
      </c>
      <c r="B961" s="14" t="s">
        <v>91</v>
      </c>
      <c r="C961" s="15" t="s">
        <v>141</v>
      </c>
      <c r="D961" s="33"/>
      <c r="E961" s="111">
        <f t="shared" si="82"/>
        <v>10500.4</v>
      </c>
      <c r="F961" s="115"/>
      <c r="G961" s="113">
        <f t="shared" si="83"/>
        <v>53</v>
      </c>
      <c r="H961" s="116" t="s">
        <v>91</v>
      </c>
      <c r="I961" s="15" t="s">
        <v>141</v>
      </c>
      <c r="J961" s="114">
        <v>2570.13</v>
      </c>
      <c r="K961" s="111">
        <f t="shared" si="84"/>
        <v>20198.64</v>
      </c>
      <c r="L961" s="33">
        <f t="shared" si="80"/>
        <v>2570.13</v>
      </c>
      <c r="M961" s="62"/>
      <c r="N961" s="2" t="s">
        <v>94</v>
      </c>
      <c r="O961" s="15" t="s">
        <v>141</v>
      </c>
      <c r="P961" s="102" t="s">
        <v>101</v>
      </c>
      <c r="Q961" s="1"/>
    </row>
    <row r="962" spans="1:17" ht="16.5">
      <c r="A962" s="113">
        <f t="shared" si="81"/>
        <v>54</v>
      </c>
      <c r="B962" s="14" t="s">
        <v>92</v>
      </c>
      <c r="C962" s="15" t="s">
        <v>141</v>
      </c>
      <c r="D962" s="33">
        <v>62.92</v>
      </c>
      <c r="E962" s="111">
        <f t="shared" si="82"/>
        <v>10563.32</v>
      </c>
      <c r="F962" s="115"/>
      <c r="G962" s="113">
        <f t="shared" si="83"/>
        <v>54</v>
      </c>
      <c r="H962" s="116" t="s">
        <v>92</v>
      </c>
      <c r="I962" s="15" t="s">
        <v>141</v>
      </c>
      <c r="J962" s="114">
        <v>373.11</v>
      </c>
      <c r="K962" s="111">
        <f t="shared" si="84"/>
        <v>20571.75</v>
      </c>
      <c r="L962" s="33">
        <f t="shared" si="80"/>
        <v>310.19</v>
      </c>
      <c r="M962" s="62"/>
      <c r="N962" s="2" t="s">
        <v>95</v>
      </c>
      <c r="O962" s="52" t="s">
        <v>141</v>
      </c>
      <c r="P962" s="102">
        <v>1093.8800000000001</v>
      </c>
      <c r="Q962" s="1"/>
    </row>
    <row r="963" spans="1:17" ht="15.75">
      <c r="A963" s="113">
        <f t="shared" si="81"/>
        <v>55</v>
      </c>
      <c r="B963" s="51" t="s">
        <v>94</v>
      </c>
      <c r="C963" s="52" t="s">
        <v>141</v>
      </c>
      <c r="D963" s="33"/>
      <c r="E963" s="111">
        <f t="shared" si="82"/>
        <v>10563.32</v>
      </c>
      <c r="F963" s="115"/>
      <c r="G963" s="113">
        <f t="shared" si="83"/>
        <v>55</v>
      </c>
      <c r="H963" s="122" t="s">
        <v>94</v>
      </c>
      <c r="I963" s="52" t="s">
        <v>141</v>
      </c>
      <c r="J963" s="33"/>
      <c r="K963" s="111">
        <f t="shared" si="84"/>
        <v>20571.75</v>
      </c>
      <c r="L963" s="33"/>
      <c r="M963" s="62"/>
      <c r="N963" s="2" t="s">
        <v>96</v>
      </c>
      <c r="O963" s="49" t="s">
        <v>106</v>
      </c>
      <c r="P963" s="1">
        <v>-365.7</v>
      </c>
      <c r="Q963" s="1"/>
    </row>
    <row r="964" spans="1:17" ht="16.5">
      <c r="A964" s="113">
        <f t="shared" si="81"/>
        <v>56</v>
      </c>
      <c r="B964" s="83" t="s">
        <v>95</v>
      </c>
      <c r="C964" s="49" t="s">
        <v>106</v>
      </c>
      <c r="D964" s="33">
        <v>1563.78</v>
      </c>
      <c r="E964" s="111">
        <f t="shared" si="82"/>
        <v>12127.1</v>
      </c>
      <c r="F964" s="115"/>
      <c r="G964" s="113">
        <f t="shared" si="83"/>
        <v>56</v>
      </c>
      <c r="H964" s="123" t="s">
        <v>95</v>
      </c>
      <c r="I964" s="49" t="s">
        <v>106</v>
      </c>
      <c r="J964" s="114">
        <v>1093.8800000000001</v>
      </c>
      <c r="K964" s="111">
        <f t="shared" si="84"/>
        <v>21665.63</v>
      </c>
      <c r="L964" s="33">
        <f t="shared" si="80"/>
        <v>-469.9</v>
      </c>
      <c r="M964" s="62"/>
      <c r="N964" s="2" t="s">
        <v>97</v>
      </c>
      <c r="O964" s="15" t="s">
        <v>106</v>
      </c>
      <c r="P964" s="102">
        <v>671.9</v>
      </c>
      <c r="Q964" s="1"/>
    </row>
    <row r="965" spans="1:17" ht="16.5">
      <c r="A965" s="113">
        <f t="shared" si="81"/>
        <v>57</v>
      </c>
      <c r="B965" s="84" t="s">
        <v>96</v>
      </c>
      <c r="C965" s="15" t="s">
        <v>106</v>
      </c>
      <c r="D965" s="33"/>
      <c r="E965" s="111">
        <f t="shared" si="82"/>
        <v>12127.1</v>
      </c>
      <c r="F965" s="115"/>
      <c r="G965" s="113">
        <f t="shared" si="83"/>
        <v>57</v>
      </c>
      <c r="H965" s="116" t="s">
        <v>96</v>
      </c>
      <c r="I965" s="15" t="s">
        <v>106</v>
      </c>
      <c r="J965" s="33"/>
      <c r="K965" s="111">
        <f t="shared" si="84"/>
        <v>21665.63</v>
      </c>
      <c r="L965" s="33"/>
      <c r="M965" s="86"/>
      <c r="N965" s="2" t="s">
        <v>98</v>
      </c>
      <c r="O965" s="23" t="s">
        <v>106</v>
      </c>
      <c r="P965" s="102">
        <v>-25281.57</v>
      </c>
      <c r="Q965" s="1"/>
    </row>
    <row r="966" spans="1:17" ht="16.5">
      <c r="A966" s="113">
        <f t="shared" si="81"/>
        <v>58</v>
      </c>
      <c r="B966" s="85" t="s">
        <v>116</v>
      </c>
      <c r="C966" s="23" t="s">
        <v>106</v>
      </c>
      <c r="D966" s="33">
        <v>436.6</v>
      </c>
      <c r="E966" s="111">
        <f t="shared" si="82"/>
        <v>12563.7</v>
      </c>
      <c r="F966" s="115"/>
      <c r="G966" s="113">
        <f t="shared" si="83"/>
        <v>58</v>
      </c>
      <c r="H966" s="124" t="s">
        <v>116</v>
      </c>
      <c r="I966" s="23" t="s">
        <v>106</v>
      </c>
      <c r="J966" s="114">
        <v>671.9</v>
      </c>
      <c r="K966" s="111">
        <f t="shared" si="84"/>
        <v>22337.53</v>
      </c>
      <c r="L966" s="33">
        <f t="shared" si="80"/>
        <v>235.3</v>
      </c>
      <c r="M966" s="86"/>
      <c r="N966" s="2" t="s">
        <v>99</v>
      </c>
      <c r="O966" s="23" t="s">
        <v>106</v>
      </c>
      <c r="P966" s="102">
        <v>-68000.92</v>
      </c>
      <c r="Q966" s="1"/>
    </row>
    <row r="967" spans="1:17" ht="16.5">
      <c r="A967" s="113">
        <f t="shared" si="81"/>
        <v>59</v>
      </c>
      <c r="B967" s="3" t="s">
        <v>100</v>
      </c>
      <c r="C967" s="23" t="s">
        <v>106</v>
      </c>
      <c r="D967" s="44"/>
      <c r="E967" s="111">
        <f t="shared" si="82"/>
        <v>12563.7</v>
      </c>
      <c r="F967" s="87"/>
      <c r="G967" s="125">
        <f t="shared" si="83"/>
        <v>59</v>
      </c>
      <c r="H967" s="3" t="s">
        <v>100</v>
      </c>
      <c r="I967" s="23" t="s">
        <v>106</v>
      </c>
      <c r="J967" s="44"/>
      <c r="K967" s="111">
        <f t="shared" si="84"/>
        <v>22337.53</v>
      </c>
      <c r="L967" s="33"/>
      <c r="M967" s="62">
        <f>SUM(J909:J967)</f>
        <v>22337.53</v>
      </c>
      <c r="N967" s="3" t="s">
        <v>100</v>
      </c>
      <c r="O967" s="23" t="s">
        <v>106</v>
      </c>
      <c r="P967" s="102">
        <v>-799.6</v>
      </c>
    </row>
    <row r="968" spans="1:17" ht="15.75">
      <c r="A968" s="105"/>
      <c r="B968" s="91" t="s">
        <v>102</v>
      </c>
      <c r="C968" s="92"/>
      <c r="D968" s="93">
        <f>SUM(D909:D967)</f>
        <v>12563.7</v>
      </c>
      <c r="E968" s="59">
        <f>E967</f>
        <v>12563.7</v>
      </c>
      <c r="F968" s="94"/>
      <c r="G968" s="95"/>
      <c r="H968" s="91" t="s">
        <v>102</v>
      </c>
      <c r="I968" s="60"/>
      <c r="J968" s="93">
        <f>SUM(J909:J967)</f>
        <v>22337.53</v>
      </c>
      <c r="K968" s="126">
        <f>K967</f>
        <v>22337.53</v>
      </c>
      <c r="L968" s="59">
        <f>K968-E968</f>
        <v>9773.83</v>
      </c>
      <c r="M968" s="62">
        <f>SUM(D909:D967)</f>
        <v>12563.7</v>
      </c>
    </row>
    <row r="969" spans="1:17" ht="15.75">
      <c r="M969" s="62">
        <f>M967-M968</f>
        <v>9773.83</v>
      </c>
    </row>
    <row r="970" spans="1:17">
      <c r="M970" s="9">
        <f>SUM(L909:L967)</f>
        <v>9773.83</v>
      </c>
    </row>
  </sheetData>
  <mergeCells count="36">
    <mergeCell ref="L802:L803"/>
    <mergeCell ref="L907:L908"/>
    <mergeCell ref="L424:L425"/>
    <mergeCell ref="L481:L482"/>
    <mergeCell ref="L584:L585"/>
    <mergeCell ref="L641:L642"/>
    <mergeCell ref="L744:L745"/>
    <mergeCell ref="L1:L2"/>
    <mergeCell ref="L104:L105"/>
    <mergeCell ref="L161:L162"/>
    <mergeCell ref="L264:L265"/>
    <mergeCell ref="L321:L322"/>
    <mergeCell ref="A744:E744"/>
    <mergeCell ref="G744:K744"/>
    <mergeCell ref="A802:E802"/>
    <mergeCell ref="G802:K802"/>
    <mergeCell ref="A907:E907"/>
    <mergeCell ref="G907:K907"/>
    <mergeCell ref="A481:E481"/>
    <mergeCell ref="G481:K481"/>
    <mergeCell ref="A584:E584"/>
    <mergeCell ref="G584:K584"/>
    <mergeCell ref="A641:E641"/>
    <mergeCell ref="G641:K641"/>
    <mergeCell ref="A264:E264"/>
    <mergeCell ref="G264:K264"/>
    <mergeCell ref="A321:E321"/>
    <mergeCell ref="G321:K321"/>
    <mergeCell ref="A424:E424"/>
    <mergeCell ref="G424:K424"/>
    <mergeCell ref="A1:E1"/>
    <mergeCell ref="G1:K1"/>
    <mergeCell ref="A104:E104"/>
    <mergeCell ref="G104:K104"/>
    <mergeCell ref="A161:E161"/>
    <mergeCell ref="G161:K161"/>
  </mergeCells>
  <pageMargins left="0.25" right="0.25" top="0.75" bottom="0.75" header="0.3" footer="0.3"/>
  <pageSetup paperSize="12" scale="5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RUz8BfUnnRIwz+CMhlDiYAAAAAAIAAAAAABBmAAAAAQAAIAAAAJsVwfoHlCYCWMN9aa0pBm8hUfSaYPJUfAkDnnYC4ATiAAAAAA6AAAAAAgAAIAAAALh4zChw8psFbJZnQdM8ACtu9A96aM/8fC6VLZbo/tQwUAAAAKSQ7NN8dNNYZQa4EaAjPSMzBqfI8i0OXSUd2Lcr5YyS+adfOUkGdr0kL6S/1sQgw4gXbC7myyMedejQrs2Rdn8PTqO+w8xZbwh5tuF1OALtQAAAAMLpGLn2F/SCkyk8En/JyikOhuOw+zKGWyZ78we7Az7gFide5+us6bjXxz6HJk/V51PYKcCqYCMRfOiLg3JsN6U=</DataMashup>
</file>

<file path=customXml/itemProps1.xml><?xml version="1.0" encoding="utf-8"?>
<ds:datastoreItem xmlns:ds="http://schemas.openxmlformats.org/officeDocument/2006/customXml" ds:itemID="{FE73941E-D24B-4AD7-926F-68A0DABE7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diff</vt:lpstr>
      <vt:lpstr>'final diff'!Print_Area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2025-12-19T15:25:00Z</cp:lastPrinted>
  <dcterms:created xsi:type="dcterms:W3CDTF">2024-11-20T15:31:00Z</dcterms:created>
  <dcterms:modified xsi:type="dcterms:W3CDTF">2026-06-10T11:38:57Z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