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OME\Desktop\kofi\data work\GitHub\data entry\"/>
    </mc:Choice>
  </mc:AlternateContent>
  <bookViews>
    <workbookView xWindow="0" yWindow="0" windowWidth="24000" windowHeight="11400"/>
  </bookViews>
  <sheets>
    <sheet name="weekly sales" sheetId="6" r:id="rId1"/>
  </sheets>
  <definedNames>
    <definedName name="_xlcn.WorksheetConnection_datasampleEXCELcourse.xlsxtableMon1" hidden="1">#REF!</definedName>
    <definedName name="dailyvar">#REF!</definedName>
    <definedName name="_xlnm.Print_Area" localSheetId="0">'weekly sales'!$N$2:$Y$106</definedName>
    <definedName name="RSS">#REF!</definedName>
    <definedName name="sparklines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3" i="6" l="1"/>
  <c r="V103" i="6"/>
  <c r="U103" i="6"/>
  <c r="T103" i="6"/>
  <c r="S103" i="6"/>
  <c r="R103" i="6"/>
  <c r="Q103" i="6"/>
  <c r="P103" i="6"/>
  <c r="J103" i="6"/>
  <c r="I103" i="6"/>
  <c r="H103" i="6"/>
  <c r="G103" i="6"/>
  <c r="F103" i="6"/>
  <c r="E103" i="6"/>
  <c r="D103" i="6"/>
  <c r="C103" i="6"/>
  <c r="Y102" i="6"/>
  <c r="X102" i="6"/>
  <c r="L102" i="6"/>
  <c r="K102" i="6"/>
  <c r="Y101" i="6"/>
  <c r="X101" i="6"/>
  <c r="L101" i="6"/>
  <c r="K101" i="6"/>
  <c r="Y100" i="6"/>
  <c r="X100" i="6"/>
  <c r="L100" i="6"/>
  <c r="K100" i="6"/>
  <c r="Y99" i="6"/>
  <c r="X99" i="6"/>
  <c r="L99" i="6"/>
  <c r="K99" i="6"/>
  <c r="Y98" i="6"/>
  <c r="X98" i="6"/>
  <c r="L98" i="6"/>
  <c r="K98" i="6"/>
  <c r="Y97" i="6"/>
  <c r="X97" i="6"/>
  <c r="L97" i="6"/>
  <c r="K97" i="6"/>
  <c r="Y96" i="6"/>
  <c r="X96" i="6"/>
  <c r="L96" i="6"/>
  <c r="K96" i="6"/>
  <c r="Y95" i="6"/>
  <c r="X95" i="6"/>
  <c r="L95" i="6"/>
  <c r="K95" i="6"/>
  <c r="Y94" i="6"/>
  <c r="X94" i="6"/>
  <c r="L94" i="6"/>
  <c r="K94" i="6"/>
  <c r="Y93" i="6"/>
  <c r="X93" i="6"/>
  <c r="L93" i="6"/>
  <c r="K93" i="6"/>
  <c r="Y92" i="6"/>
  <c r="X92" i="6"/>
  <c r="L92" i="6"/>
  <c r="K92" i="6"/>
  <c r="Y91" i="6"/>
  <c r="X91" i="6"/>
  <c r="L91" i="6"/>
  <c r="K91" i="6"/>
  <c r="Y90" i="6"/>
  <c r="X90" i="6"/>
  <c r="L90" i="6"/>
  <c r="K90" i="6"/>
  <c r="Y89" i="6"/>
  <c r="X89" i="6"/>
  <c r="L89" i="6"/>
  <c r="K89" i="6"/>
  <c r="Y88" i="6"/>
  <c r="X88" i="6"/>
  <c r="L88" i="6"/>
  <c r="K88" i="6"/>
  <c r="Y87" i="6"/>
  <c r="X87" i="6"/>
  <c r="L87" i="6"/>
  <c r="K87" i="6"/>
  <c r="Y86" i="6"/>
  <c r="X86" i="6"/>
  <c r="L86" i="6"/>
  <c r="K86" i="6"/>
  <c r="Y85" i="6"/>
  <c r="X85" i="6"/>
  <c r="L85" i="6"/>
  <c r="K85" i="6"/>
  <c r="Y84" i="6"/>
  <c r="X84" i="6"/>
  <c r="L84" i="6"/>
  <c r="K84" i="6"/>
  <c r="Y83" i="6"/>
  <c r="X83" i="6"/>
  <c r="L83" i="6"/>
  <c r="K83" i="6"/>
  <c r="Y82" i="6"/>
  <c r="X82" i="6"/>
  <c r="L82" i="6"/>
  <c r="K82" i="6"/>
  <c r="Y81" i="6"/>
  <c r="X81" i="6"/>
  <c r="L81" i="6"/>
  <c r="K81" i="6"/>
  <c r="Y80" i="6"/>
  <c r="X80" i="6"/>
  <c r="L80" i="6"/>
  <c r="K80" i="6"/>
  <c r="Y79" i="6"/>
  <c r="X79" i="6"/>
  <c r="L79" i="6"/>
  <c r="K79" i="6"/>
  <c r="Y78" i="6"/>
  <c r="X78" i="6"/>
  <c r="L78" i="6"/>
  <c r="K78" i="6"/>
  <c r="Y77" i="6"/>
  <c r="X77" i="6"/>
  <c r="L77" i="6"/>
  <c r="K77" i="6"/>
  <c r="Y76" i="6"/>
  <c r="X76" i="6"/>
  <c r="L76" i="6"/>
  <c r="K76" i="6"/>
  <c r="Y75" i="6"/>
  <c r="X75" i="6"/>
  <c r="L75" i="6"/>
  <c r="K75" i="6"/>
  <c r="Y74" i="6"/>
  <c r="X74" i="6"/>
  <c r="L74" i="6"/>
  <c r="K74" i="6"/>
  <c r="Y73" i="6"/>
  <c r="X73" i="6"/>
  <c r="L73" i="6"/>
  <c r="K73" i="6"/>
  <c r="Y72" i="6"/>
  <c r="X72" i="6"/>
  <c r="L72" i="6"/>
  <c r="K72" i="6"/>
  <c r="Y71" i="6"/>
  <c r="X71" i="6"/>
  <c r="L71" i="6"/>
  <c r="K71" i="6"/>
  <c r="Y70" i="6"/>
  <c r="X70" i="6"/>
  <c r="L70" i="6"/>
  <c r="K70" i="6"/>
  <c r="Y69" i="6"/>
  <c r="X69" i="6"/>
  <c r="L69" i="6"/>
  <c r="K69" i="6"/>
  <c r="Y68" i="6"/>
  <c r="X68" i="6"/>
  <c r="L68" i="6"/>
  <c r="K68" i="6"/>
  <c r="Y67" i="6"/>
  <c r="X67" i="6"/>
  <c r="L67" i="6"/>
  <c r="K67" i="6"/>
  <c r="Y66" i="6"/>
  <c r="X66" i="6"/>
  <c r="L66" i="6"/>
  <c r="K66" i="6"/>
  <c r="Y65" i="6"/>
  <c r="X65" i="6"/>
  <c r="L65" i="6"/>
  <c r="K65" i="6"/>
  <c r="Y64" i="6"/>
  <c r="X64" i="6"/>
  <c r="L64" i="6"/>
  <c r="K64" i="6"/>
  <c r="Y63" i="6"/>
  <c r="X63" i="6"/>
  <c r="L63" i="6"/>
  <c r="K63" i="6"/>
  <c r="Y62" i="6"/>
  <c r="X62" i="6"/>
  <c r="L62" i="6"/>
  <c r="K62" i="6"/>
  <c r="Y61" i="6"/>
  <c r="X61" i="6"/>
  <c r="L61" i="6"/>
  <c r="K61" i="6"/>
  <c r="Y60" i="6"/>
  <c r="X60" i="6"/>
  <c r="L60" i="6"/>
  <c r="K60" i="6"/>
  <c r="Y59" i="6"/>
  <c r="X59" i="6"/>
  <c r="L59" i="6"/>
  <c r="K59" i="6"/>
  <c r="Y58" i="6"/>
  <c r="X58" i="6"/>
  <c r="L58" i="6"/>
  <c r="K58" i="6"/>
  <c r="Y57" i="6"/>
  <c r="X57" i="6"/>
  <c r="L57" i="6"/>
  <c r="K57" i="6"/>
  <c r="Y56" i="6"/>
  <c r="X56" i="6"/>
  <c r="L56" i="6"/>
  <c r="K56" i="6"/>
  <c r="Y55" i="6"/>
  <c r="X55" i="6"/>
  <c r="L55" i="6"/>
  <c r="K55" i="6"/>
  <c r="Y54" i="6"/>
  <c r="X54" i="6"/>
  <c r="L54" i="6"/>
  <c r="K54" i="6"/>
  <c r="Y53" i="6"/>
  <c r="X53" i="6"/>
  <c r="L53" i="6"/>
  <c r="K53" i="6"/>
  <c r="Y52" i="6"/>
  <c r="X52" i="6"/>
  <c r="L52" i="6"/>
  <c r="K52" i="6"/>
  <c r="Y51" i="6"/>
  <c r="X51" i="6"/>
  <c r="L51" i="6"/>
  <c r="K51" i="6"/>
  <c r="Y50" i="6"/>
  <c r="X50" i="6"/>
  <c r="L50" i="6"/>
  <c r="K50" i="6"/>
  <c r="Y49" i="6"/>
  <c r="X49" i="6"/>
  <c r="L49" i="6"/>
  <c r="K49" i="6"/>
  <c r="Y48" i="6"/>
  <c r="X48" i="6"/>
  <c r="L48" i="6"/>
  <c r="K48" i="6"/>
  <c r="Y47" i="6"/>
  <c r="X47" i="6"/>
  <c r="L47" i="6"/>
  <c r="K47" i="6"/>
  <c r="Y46" i="6"/>
  <c r="X46" i="6"/>
  <c r="L46" i="6"/>
  <c r="K46" i="6"/>
  <c r="Y45" i="6"/>
  <c r="X45" i="6"/>
  <c r="L45" i="6"/>
  <c r="K45" i="6"/>
  <c r="Y44" i="6"/>
  <c r="X44" i="6"/>
  <c r="L44" i="6"/>
  <c r="K44" i="6"/>
  <c r="Y43" i="6"/>
  <c r="X43" i="6"/>
  <c r="L43" i="6"/>
  <c r="K43" i="6"/>
  <c r="Y42" i="6"/>
  <c r="X42" i="6"/>
  <c r="L42" i="6"/>
  <c r="K42" i="6"/>
  <c r="Y41" i="6"/>
  <c r="X41" i="6"/>
  <c r="L41" i="6"/>
  <c r="K41" i="6"/>
  <c r="Y40" i="6"/>
  <c r="X40" i="6"/>
  <c r="L40" i="6"/>
  <c r="K40" i="6"/>
  <c r="Y39" i="6"/>
  <c r="X39" i="6"/>
  <c r="L39" i="6"/>
  <c r="K39" i="6"/>
  <c r="Y38" i="6"/>
  <c r="X38" i="6"/>
  <c r="L38" i="6"/>
  <c r="K38" i="6"/>
  <c r="Y37" i="6"/>
  <c r="X37" i="6"/>
  <c r="L37" i="6"/>
  <c r="K37" i="6"/>
  <c r="Y36" i="6"/>
  <c r="X36" i="6"/>
  <c r="L36" i="6"/>
  <c r="K36" i="6"/>
  <c r="Y35" i="6"/>
  <c r="X35" i="6"/>
  <c r="L35" i="6"/>
  <c r="K35" i="6"/>
  <c r="Y34" i="6"/>
  <c r="X34" i="6"/>
  <c r="L34" i="6"/>
  <c r="K34" i="6"/>
  <c r="Y33" i="6"/>
  <c r="X33" i="6"/>
  <c r="L33" i="6"/>
  <c r="K33" i="6"/>
  <c r="Y32" i="6"/>
  <c r="X32" i="6"/>
  <c r="L32" i="6"/>
  <c r="K32" i="6"/>
  <c r="Y31" i="6"/>
  <c r="X31" i="6"/>
  <c r="L31" i="6"/>
  <c r="K31" i="6"/>
  <c r="Y30" i="6"/>
  <c r="X30" i="6"/>
  <c r="L30" i="6"/>
  <c r="K30" i="6"/>
  <c r="Y29" i="6"/>
  <c r="X29" i="6"/>
  <c r="L29" i="6"/>
  <c r="K29" i="6"/>
  <c r="Y28" i="6"/>
  <c r="X28" i="6"/>
  <c r="L28" i="6"/>
  <c r="K28" i="6"/>
  <c r="Y27" i="6"/>
  <c r="X27" i="6"/>
  <c r="L27" i="6"/>
  <c r="K27" i="6"/>
  <c r="Y26" i="6"/>
  <c r="X26" i="6"/>
  <c r="L26" i="6"/>
  <c r="K26" i="6"/>
  <c r="Y25" i="6"/>
  <c r="X25" i="6"/>
  <c r="L25" i="6"/>
  <c r="K25" i="6"/>
  <c r="Y24" i="6"/>
  <c r="X24" i="6"/>
  <c r="L24" i="6"/>
  <c r="K24" i="6"/>
  <c r="Y23" i="6"/>
  <c r="X23" i="6"/>
  <c r="L23" i="6"/>
  <c r="K23" i="6"/>
  <c r="Y22" i="6"/>
  <c r="X22" i="6"/>
  <c r="L22" i="6"/>
  <c r="K22" i="6"/>
  <c r="Y21" i="6"/>
  <c r="X21" i="6"/>
  <c r="L21" i="6"/>
  <c r="K21" i="6"/>
  <c r="Y20" i="6"/>
  <c r="X20" i="6"/>
  <c r="L20" i="6"/>
  <c r="K20" i="6"/>
  <c r="Y19" i="6"/>
  <c r="X19" i="6"/>
  <c r="L19" i="6"/>
  <c r="K19" i="6"/>
  <c r="Y18" i="6"/>
  <c r="X18" i="6"/>
  <c r="L18" i="6"/>
  <c r="K18" i="6"/>
  <c r="Y17" i="6"/>
  <c r="X17" i="6"/>
  <c r="L17" i="6"/>
  <c r="K17" i="6"/>
  <c r="Y16" i="6"/>
  <c r="X16" i="6"/>
  <c r="L16" i="6"/>
  <c r="K16" i="6"/>
  <c r="Y15" i="6"/>
  <c r="X15" i="6"/>
  <c r="L15" i="6"/>
  <c r="K15" i="6"/>
  <c r="Y14" i="6"/>
  <c r="X14" i="6"/>
  <c r="L14" i="6"/>
  <c r="K14" i="6"/>
  <c r="Y13" i="6"/>
  <c r="X13" i="6"/>
  <c r="L13" i="6"/>
  <c r="K13" i="6"/>
  <c r="Y12" i="6"/>
  <c r="X12" i="6"/>
  <c r="L12" i="6"/>
  <c r="K12" i="6"/>
  <c r="Y11" i="6"/>
  <c r="X11" i="6"/>
  <c r="L11" i="6"/>
  <c r="K11" i="6"/>
  <c r="Y10" i="6"/>
  <c r="X10" i="6"/>
  <c r="L10" i="6"/>
  <c r="K10" i="6"/>
  <c r="Y9" i="6"/>
  <c r="X9" i="6"/>
  <c r="L9" i="6"/>
  <c r="K9" i="6"/>
  <c r="Y8" i="6"/>
  <c r="X8" i="6"/>
  <c r="L8" i="6"/>
  <c r="K8" i="6"/>
  <c r="Y7" i="6"/>
  <c r="X7" i="6"/>
  <c r="N7" i="6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N93" i="6" s="1"/>
  <c r="N94" i="6" s="1"/>
  <c r="N95" i="6" s="1"/>
  <c r="N96" i="6" s="1"/>
  <c r="N97" i="6" s="1"/>
  <c r="N98" i="6" s="1"/>
  <c r="N99" i="6" s="1"/>
  <c r="N100" i="6" s="1"/>
  <c r="N101" i="6" s="1"/>
  <c r="N102" i="6" s="1"/>
  <c r="L7" i="6"/>
  <c r="K7" i="6"/>
  <c r="Y6" i="6"/>
  <c r="Y103" i="6" s="1"/>
  <c r="X6" i="6"/>
  <c r="N6" i="6"/>
  <c r="L6" i="6"/>
  <c r="K6" i="6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Y5" i="6"/>
  <c r="X5" i="6"/>
  <c r="L5" i="6"/>
  <c r="K5" i="6"/>
  <c r="Y4" i="6"/>
  <c r="X4" i="6"/>
  <c r="X103" i="6" s="1"/>
  <c r="L4" i="6"/>
  <c r="L103" i="6" s="1"/>
  <c r="K4" i="6"/>
  <c r="K103" i="6" s="1"/>
</calcChain>
</file>

<file path=xl/connections.xml><?xml version="1.0" encoding="utf-8"?>
<connections xmlns="http://schemas.openxmlformats.org/spreadsheetml/2006/main">
  <connection id="1" interval="60" name="WorksheetConnection_data sample EXCEL course.xlsx!tableMon" type="5" refreshedVersion="2" saveData="1">
    <dbPr connection="" command=""/>
  </connection>
</connections>
</file>

<file path=xl/sharedStrings.xml><?xml version="1.0" encoding="utf-8"?>
<sst xmlns="http://schemas.openxmlformats.org/spreadsheetml/2006/main" count="228" uniqueCount="115">
  <si>
    <t>ODORKOR</t>
  </si>
  <si>
    <t>SHUKURA 1</t>
  </si>
  <si>
    <t>SHUKURA 2</t>
  </si>
  <si>
    <t>AGBOGBA</t>
  </si>
  <si>
    <t>OYIBI</t>
  </si>
  <si>
    <t>DANFA</t>
  </si>
  <si>
    <t>TAIFA</t>
  </si>
  <si>
    <t>KATAMANSO</t>
  </si>
  <si>
    <t>BOTWE</t>
  </si>
  <si>
    <t>ASHIAMAN</t>
  </si>
  <si>
    <t>AYIKAI</t>
  </si>
  <si>
    <t>ODUMASE</t>
  </si>
  <si>
    <t>ASHALAJA 1</t>
  </si>
  <si>
    <t>ASHALAJA 3</t>
  </si>
  <si>
    <t>NURSES JNC</t>
  </si>
  <si>
    <t>BORTSIANOR</t>
  </si>
  <si>
    <t>ABLEKUMA</t>
  </si>
  <si>
    <t>DANCHIRA</t>
  </si>
  <si>
    <t>AMANFROM</t>
  </si>
  <si>
    <t>BEGORO</t>
  </si>
  <si>
    <t>TEACHER MANTEY</t>
  </si>
  <si>
    <t>ASIAKWA JNC.</t>
  </si>
  <si>
    <t>KOFORIDUA ABOAB</t>
  </si>
  <si>
    <t>ASONA</t>
  </si>
  <si>
    <t>AKIM MANSO</t>
  </si>
  <si>
    <t>ESSIENIMPONG</t>
  </si>
  <si>
    <t>PAKYI</t>
  </si>
  <si>
    <t>OBUASI 2</t>
  </si>
  <si>
    <t>AKAPOLISO</t>
  </si>
  <si>
    <t>KONKORI</t>
  </si>
  <si>
    <t>KODIE</t>
  </si>
  <si>
    <t>HEMAN</t>
  </si>
  <si>
    <t>TOASE</t>
  </si>
  <si>
    <t>OLD TAFO</t>
  </si>
  <si>
    <t>ABOABO</t>
  </si>
  <si>
    <t>ASUOSO</t>
  </si>
  <si>
    <t>AKROPONG</t>
  </si>
  <si>
    <t>TEPA</t>
  </si>
  <si>
    <t>ANYINASUSO</t>
  </si>
  <si>
    <t>AHENKRO</t>
  </si>
  <si>
    <t>ABOFOUR</t>
  </si>
  <si>
    <t>ABOFOUR 2</t>
  </si>
  <si>
    <t>NYINAHIN</t>
  </si>
  <si>
    <t>ADANKWAME</t>
  </si>
  <si>
    <t>ABOASO</t>
  </si>
  <si>
    <t>ATONSU AGOGO</t>
  </si>
  <si>
    <t>WIAMOASE</t>
  </si>
  <si>
    <t>AGONA</t>
  </si>
  <si>
    <t>DROMANKUMA</t>
  </si>
  <si>
    <t>EJURA 1</t>
  </si>
  <si>
    <t>AGONA 2</t>
  </si>
  <si>
    <t>KUBEASE</t>
  </si>
  <si>
    <t>SUNYANI 2</t>
  </si>
  <si>
    <t>YAWHIMA</t>
  </si>
  <si>
    <t>MANTUKWA</t>
  </si>
  <si>
    <t>DROBO</t>
  </si>
  <si>
    <t>AFRISIPAKROM</t>
  </si>
  <si>
    <t>NTOTROSO</t>
  </si>
  <si>
    <t>CHIRAA</t>
  </si>
  <si>
    <t>NSUATRE</t>
  </si>
  <si>
    <t>TECHIMAN NK</t>
  </si>
  <si>
    <t>OFORIKROM</t>
  </si>
  <si>
    <t>WENCHI KOASE</t>
  </si>
  <si>
    <t>MANKESSIM # 1</t>
  </si>
  <si>
    <t>MANKESSIM #2</t>
  </si>
  <si>
    <t>MANKESSIM #3</t>
  </si>
  <si>
    <t>SALTPOND 2</t>
  </si>
  <si>
    <t>SALTPOND 1</t>
  </si>
  <si>
    <t>ASSIN FOSU</t>
  </si>
  <si>
    <t>ASIKUMA</t>
  </si>
  <si>
    <t>AJUMAKO</t>
  </si>
  <si>
    <t>JAMRA</t>
  </si>
  <si>
    <t>KUNTANASE</t>
  </si>
  <si>
    <t>KASOA 1</t>
  </si>
  <si>
    <t>KASOA 2</t>
  </si>
  <si>
    <t>KASOA 3</t>
  </si>
  <si>
    <t>FETTEH</t>
  </si>
  <si>
    <t>APAM JNC</t>
  </si>
  <si>
    <t>ESHIEM</t>
  </si>
  <si>
    <t>SWEDRU</t>
  </si>
  <si>
    <t>CAPE COAST</t>
  </si>
  <si>
    <t>JUKWA</t>
  </si>
  <si>
    <t>AGONA NKWANTA</t>
  </si>
  <si>
    <t>ELUBO</t>
  </si>
  <si>
    <t>TAKORADI FIJAI</t>
  </si>
  <si>
    <t>DABOASE</t>
  </si>
  <si>
    <t>ESSIPONG</t>
  </si>
  <si>
    <t>BAWDIE</t>
  </si>
  <si>
    <t>DEBISO</t>
  </si>
  <si>
    <t>AXIM NYAMEBEKYE</t>
  </si>
  <si>
    <t>TETREM</t>
  </si>
  <si>
    <t>ABOSSEY OKAI</t>
  </si>
  <si>
    <t>BIBIANI KWAMEKROM</t>
  </si>
  <si>
    <t>Mon.25.AUG</t>
  </si>
  <si>
    <t>Tues.26.AUG</t>
  </si>
  <si>
    <t>Wed.27.AUG</t>
  </si>
  <si>
    <t>Thurs.28.AUG</t>
  </si>
  <si>
    <t>Fri.29.AUG</t>
  </si>
  <si>
    <t>Sat.30.AUG</t>
  </si>
  <si>
    <t>Sun.31.AUG</t>
  </si>
  <si>
    <t>Mon.1.SEPT</t>
  </si>
  <si>
    <t>TOTAL</t>
  </si>
  <si>
    <t>S/N</t>
  </si>
  <si>
    <t>ABESIM</t>
  </si>
  <si>
    <t>ABURA ABAKA</t>
  </si>
  <si>
    <t>AKIM CHIA</t>
  </si>
  <si>
    <t>KENYASI</t>
  </si>
  <si>
    <t>KLO AGOGO</t>
  </si>
  <si>
    <t>TWIFO AMPRENKO</t>
  </si>
  <si>
    <t>AVERAGE (LITRES PER DAY)</t>
  </si>
  <si>
    <t xml:space="preserve">WEEKLY TOTAL  </t>
  </si>
  <si>
    <t>COLOR CODE</t>
  </si>
  <si>
    <t>NO SALES REPORT</t>
  </si>
  <si>
    <t>PMS - STATION SALES TRACKER: MON.1.SEPT.2025</t>
  </si>
  <si>
    <t>AGO - STATION SALES TRACKER: MON.1.SEPT.2025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</si>
</sst>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5" borderId="0" xfId="0" applyFill="1"/>
    <xf numFmtId="0" fontId="0" fillId="0" borderId="5" xfId="0" applyBorder="1"/>
    <xf numFmtId="0" fontId="0" fillId="0" borderId="6" xfId="0" applyBorder="1"/>
    <xf numFmtId="4" fontId="2" fillId="6" borderId="2" xfId="0" applyNumberFormat="1" applyFont="1" applyFill="1" applyBorder="1" applyAlignment="1">
      <alignment horizontal="justify" vertical="justify"/>
    </xf>
    <xf numFmtId="4" fontId="2" fillId="7" borderId="2" xfId="0" applyNumberFormat="1" applyFont="1" applyFill="1" applyBorder="1" applyAlignment="1">
      <alignment horizontal="justify" vertical="justify"/>
    </xf>
    <xf numFmtId="40" fontId="0" fillId="5" borderId="0" xfId="0" applyNumberFormat="1" applyFill="1"/>
    <xf numFmtId="0" fontId="4" fillId="0" borderId="12" xfId="0" applyFont="1" applyBorder="1"/>
    <xf numFmtId="40" fontId="5" fillId="2" borderId="4" xfId="0" applyNumberFormat="1" applyFont="1" applyFill="1" applyBorder="1"/>
    <xf numFmtId="40" fontId="3" fillId="7" borderId="11" xfId="0" applyNumberFormat="1" applyFont="1" applyFill="1" applyBorder="1"/>
    <xf numFmtId="40" fontId="1" fillId="3" borderId="14" xfId="0" applyNumberFormat="1" applyFont="1" applyFill="1" applyBorder="1"/>
    <xf numFmtId="40" fontId="1" fillId="3" borderId="15" xfId="0" applyNumberFormat="1" applyFont="1" applyFill="1" applyBorder="1"/>
    <xf numFmtId="40" fontId="1" fillId="3" borderId="16" xfId="0" applyNumberFormat="1" applyFont="1" applyFill="1" applyBorder="1"/>
    <xf numFmtId="40" fontId="1" fillId="3" borderId="9" xfId="0" applyNumberFormat="1" applyFont="1" applyFill="1" applyBorder="1"/>
    <xf numFmtId="40" fontId="1" fillId="3" borderId="1" xfId="0" applyNumberFormat="1" applyFont="1" applyFill="1" applyBorder="1"/>
    <xf numFmtId="40" fontId="1" fillId="3" borderId="10" xfId="0" applyNumberFormat="1" applyFont="1" applyFill="1" applyBorder="1"/>
    <xf numFmtId="40" fontId="1" fillId="3" borderId="18" xfId="0" applyNumberFormat="1" applyFont="1" applyFill="1" applyBorder="1"/>
    <xf numFmtId="40" fontId="1" fillId="3" borderId="17" xfId="0" applyNumberFormat="1" applyFont="1" applyFill="1" applyBorder="1"/>
    <xf numFmtId="40" fontId="1" fillId="3" borderId="19" xfId="0" applyNumberFormat="1" applyFont="1" applyFill="1" applyBorder="1"/>
    <xf numFmtId="40" fontId="1" fillId="8" borderId="1" xfId="0" applyNumberFormat="1" applyFont="1" applyFill="1" applyBorder="1"/>
    <xf numFmtId="0" fontId="1" fillId="0" borderId="0" xfId="0" applyFont="1"/>
    <xf numFmtId="0" fontId="6" fillId="8" borderId="0" xfId="0" applyFont="1" applyFill="1"/>
    <xf numFmtId="40" fontId="3" fillId="6" borderId="13" xfId="0" applyNumberFormat="1" applyFont="1" applyFill="1" applyBorder="1"/>
    <xf numFmtId="0" fontId="3" fillId="0" borderId="5" xfId="0" applyFont="1" applyBorder="1" applyAlignment="1">
      <alignment horizontal="justify" vertical="justify"/>
    </xf>
    <xf numFmtId="40" fontId="1" fillId="3" borderId="9" xfId="0" applyNumberFormat="1" applyFont="1" applyFill="1" applyBorder="1" applyAlignment="1">
      <alignment horizontal="left" vertical="top"/>
    </xf>
    <xf numFmtId="0" fontId="4" fillId="0" borderId="20" xfId="0" applyFont="1" applyBorder="1"/>
    <xf numFmtId="4" fontId="2" fillId="4" borderId="7" xfId="0" applyNumberFormat="1" applyFont="1" applyFill="1" applyBorder="1" applyAlignment="1">
      <alignment horizontal="center"/>
    </xf>
    <xf numFmtId="4" fontId="2" fillId="4" borderId="8" xfId="0" applyNumberFormat="1" applyFont="1" applyFill="1" applyBorder="1" applyAlignment="1">
      <alignment horizontal="center"/>
    </xf>
    <xf numFmtId="4" fontId="2" fillId="4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1454817346722"/>
  </sheetPr>
  <dimension ref="A1:Y106"/>
  <sheetViews>
    <sheetView tabSelected="1" workbookViewId="0">
      <selection activeCell="F16" sqref="F16"/>
    </sheetView>
  </sheetViews>
  <sheetFormatPr defaultColWidth="9" defaultRowHeight="15"/>
  <cols>
    <col min="1" max="1" width="4.140625" customWidth="1"/>
    <col min="2" max="2" width="22" customWidth="1"/>
    <col min="3" max="3" width="15.7109375" customWidth="1"/>
    <col min="4" max="4" width="16" customWidth="1"/>
    <col min="5" max="5" width="16.140625" customWidth="1"/>
    <col min="6" max="6" width="17.85546875" customWidth="1"/>
    <col min="7" max="7" width="16" customWidth="1"/>
    <col min="8" max="8" width="14.28515625" customWidth="1"/>
    <col min="9" max="9" width="15.85546875" customWidth="1"/>
    <col min="10" max="10" width="17.28515625" customWidth="1"/>
    <col min="11" max="11" width="18.140625" customWidth="1"/>
    <col min="12" max="12" width="12.7109375" customWidth="1"/>
    <col min="13" max="13" width="11.5703125" customWidth="1"/>
    <col min="14" max="14" width="5.28515625" customWidth="1"/>
    <col min="15" max="15" width="21.140625" customWidth="1"/>
    <col min="16" max="16" width="15.7109375" customWidth="1"/>
    <col min="17" max="18" width="16" customWidth="1"/>
    <col min="19" max="19" width="17.28515625" customWidth="1"/>
    <col min="20" max="20" width="13.42578125" customWidth="1"/>
    <col min="21" max="21" width="15.28515625" customWidth="1"/>
    <col min="22" max="23" width="15.42578125" customWidth="1"/>
    <col min="24" max="24" width="12.140625" customWidth="1"/>
    <col min="25" max="25" width="15.7109375" customWidth="1"/>
    <col min="27" max="27" width="9" customWidth="1"/>
    <col min="29" max="31" width="12" customWidth="1"/>
  </cols>
  <sheetData>
    <row r="1" spans="1:25" ht="15.75" thickBot="1"/>
    <row r="2" spans="1:25" ht="15.75">
      <c r="A2" s="26" t="s">
        <v>113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  <c r="M2" s="1"/>
      <c r="N2" s="26" t="s">
        <v>114</v>
      </c>
      <c r="O2" s="27"/>
      <c r="P2" s="27"/>
      <c r="Q2" s="27"/>
      <c r="R2" s="27"/>
      <c r="S2" s="27"/>
      <c r="T2" s="27"/>
      <c r="U2" s="27"/>
      <c r="V2" s="27"/>
      <c r="W2" s="27"/>
      <c r="X2" s="27"/>
      <c r="Y2" s="28"/>
    </row>
    <row r="3" spans="1:25" ht="47.25">
      <c r="A3" s="2" t="s">
        <v>102</v>
      </c>
      <c r="B3" s="3"/>
      <c r="C3" s="23" t="s">
        <v>93</v>
      </c>
      <c r="D3" s="23" t="s">
        <v>94</v>
      </c>
      <c r="E3" s="23" t="s">
        <v>95</v>
      </c>
      <c r="F3" s="23" t="s">
        <v>96</v>
      </c>
      <c r="G3" s="23" t="s">
        <v>97</v>
      </c>
      <c r="H3" s="23" t="s">
        <v>98</v>
      </c>
      <c r="I3" s="23" t="s">
        <v>99</v>
      </c>
      <c r="J3" s="23" t="s">
        <v>100</v>
      </c>
      <c r="K3" s="4" t="s">
        <v>109</v>
      </c>
      <c r="L3" s="5" t="s">
        <v>110</v>
      </c>
      <c r="M3" s="1"/>
      <c r="N3" s="2" t="s">
        <v>102</v>
      </c>
      <c r="O3" s="3"/>
      <c r="P3" s="23" t="s">
        <v>93</v>
      </c>
      <c r="Q3" s="23" t="s">
        <v>94</v>
      </c>
      <c r="R3" s="23" t="s">
        <v>95</v>
      </c>
      <c r="S3" s="23" t="s">
        <v>96</v>
      </c>
      <c r="T3" s="23" t="s">
        <v>97</v>
      </c>
      <c r="U3" s="23" t="s">
        <v>98</v>
      </c>
      <c r="V3" s="23" t="s">
        <v>99</v>
      </c>
      <c r="W3" s="23" t="s">
        <v>100</v>
      </c>
      <c r="X3" s="4" t="s">
        <v>109</v>
      </c>
      <c r="Y3" s="5" t="s">
        <v>110</v>
      </c>
    </row>
    <row r="4" spans="1:25" ht="15.75">
      <c r="A4" s="7">
        <v>1</v>
      </c>
      <c r="B4" s="13" t="s">
        <v>91</v>
      </c>
      <c r="C4" s="14">
        <v>3168.38</v>
      </c>
      <c r="D4" s="14">
        <v>5309.66</v>
      </c>
      <c r="E4" s="14">
        <v>4282.88</v>
      </c>
      <c r="F4" s="14">
        <v>4711.91</v>
      </c>
      <c r="G4" s="14">
        <v>4440.3900000000003</v>
      </c>
      <c r="H4" s="14">
        <v>4941.97</v>
      </c>
      <c r="I4" s="14">
        <v>4679.0600000000004</v>
      </c>
      <c r="J4" s="15">
        <v>3405.23</v>
      </c>
      <c r="K4" s="22">
        <f t="shared" ref="K4:K35" si="0">AVERAGE(C4:J4)</f>
        <v>4367.4350000000004</v>
      </c>
      <c r="L4" s="9">
        <f t="shared" ref="L4:L35" si="1">SUM(C4:J4)</f>
        <v>34939.480000000003</v>
      </c>
      <c r="M4" s="6"/>
      <c r="N4" s="7">
        <v>2</v>
      </c>
      <c r="O4" s="13" t="s">
        <v>32</v>
      </c>
      <c r="P4" s="14">
        <v>3109.39</v>
      </c>
      <c r="Q4" s="14">
        <v>2889.41</v>
      </c>
      <c r="R4" s="14">
        <v>5218.87</v>
      </c>
      <c r="S4" s="14">
        <v>4963.12</v>
      </c>
      <c r="T4" s="14">
        <v>4056.81</v>
      </c>
      <c r="U4" s="14">
        <v>3160.54</v>
      </c>
      <c r="V4" s="14">
        <v>4480.5</v>
      </c>
      <c r="W4" s="15">
        <v>2918.7</v>
      </c>
      <c r="X4" s="22">
        <f t="shared" ref="X4:X35" si="2">AVERAGE(P4:W4)</f>
        <v>3849.6675</v>
      </c>
      <c r="Y4" s="9">
        <f t="shared" ref="Y4:Y35" si="3">SUM(P4:W4)</f>
        <v>30797.34</v>
      </c>
    </row>
    <row r="5" spans="1:25" ht="15.75">
      <c r="A5" s="7">
        <v>2</v>
      </c>
      <c r="B5" s="10" t="s">
        <v>32</v>
      </c>
      <c r="C5" s="11">
        <v>2815.25</v>
      </c>
      <c r="D5" s="11">
        <v>4339.08</v>
      </c>
      <c r="E5" s="11">
        <v>6376.35</v>
      </c>
      <c r="F5" s="11">
        <v>4168.7299999999996</v>
      </c>
      <c r="G5" s="11">
        <v>3632.73</v>
      </c>
      <c r="H5" s="11">
        <v>4412.26</v>
      </c>
      <c r="I5" s="11">
        <v>4020.66</v>
      </c>
      <c r="J5" s="12">
        <v>3556.87</v>
      </c>
      <c r="K5" s="22">
        <f t="shared" si="0"/>
        <v>4165.24125</v>
      </c>
      <c r="L5" s="9">
        <f t="shared" si="1"/>
        <v>33321.93</v>
      </c>
      <c r="M5" s="6"/>
      <c r="N5" s="7">
        <v>1</v>
      </c>
      <c r="O5" s="10" t="s">
        <v>83</v>
      </c>
      <c r="P5" s="11">
        <v>1931.24</v>
      </c>
      <c r="Q5" s="11">
        <v>2876.44</v>
      </c>
      <c r="R5" s="11">
        <v>3968.78</v>
      </c>
      <c r="S5" s="11">
        <v>1899.42</v>
      </c>
      <c r="T5" s="11">
        <v>2935.72</v>
      </c>
      <c r="U5" s="11">
        <v>2391.7199999999998</v>
      </c>
      <c r="V5" s="11">
        <v>2876.65</v>
      </c>
      <c r="W5" s="12">
        <v>950.66</v>
      </c>
      <c r="X5" s="22">
        <f t="shared" si="2"/>
        <v>2478.8287500000001</v>
      </c>
      <c r="Y5" s="9">
        <f t="shared" si="3"/>
        <v>19830.63</v>
      </c>
    </row>
    <row r="6" spans="1:25" ht="15.75">
      <c r="A6" s="7">
        <f>1+A5</f>
        <v>3</v>
      </c>
      <c r="B6" s="13" t="s">
        <v>83</v>
      </c>
      <c r="C6" s="14">
        <v>6923.98</v>
      </c>
      <c r="D6" s="14">
        <v>4957.79</v>
      </c>
      <c r="E6" s="14">
        <v>3090.43</v>
      </c>
      <c r="F6" s="14">
        <v>1160.1099999999999</v>
      </c>
      <c r="G6" s="14">
        <v>3156.88</v>
      </c>
      <c r="H6" s="14">
        <v>2029.28</v>
      </c>
      <c r="I6" s="14">
        <v>1678.7</v>
      </c>
      <c r="J6" s="15">
        <v>1733.72</v>
      </c>
      <c r="K6" s="22">
        <f t="shared" si="0"/>
        <v>3091.3612500000004</v>
      </c>
      <c r="L6" s="9">
        <f t="shared" si="1"/>
        <v>24730.890000000003</v>
      </c>
      <c r="M6" s="6"/>
      <c r="N6" s="7">
        <f>1+N5</f>
        <v>2</v>
      </c>
      <c r="O6" s="13" t="s">
        <v>40</v>
      </c>
      <c r="P6" s="14">
        <v>2376.27</v>
      </c>
      <c r="Q6" s="14">
        <v>2902.54</v>
      </c>
      <c r="R6" s="14">
        <v>2435.96</v>
      </c>
      <c r="S6" s="14">
        <v>1682.76</v>
      </c>
      <c r="T6" s="14">
        <v>3706.31</v>
      </c>
      <c r="U6" s="14">
        <v>2285.06</v>
      </c>
      <c r="V6" s="14">
        <v>1810.37</v>
      </c>
      <c r="W6" s="15">
        <v>1858.27</v>
      </c>
      <c r="X6" s="22">
        <f t="shared" si="2"/>
        <v>2382.1924999999997</v>
      </c>
      <c r="Y6" s="9">
        <f t="shared" si="3"/>
        <v>19057.539999999997</v>
      </c>
    </row>
    <row r="7" spans="1:25" ht="15.75">
      <c r="A7" s="7">
        <f t="shared" ref="A7:A70" si="4">1+A6</f>
        <v>4</v>
      </c>
      <c r="B7" s="13" t="s">
        <v>57</v>
      </c>
      <c r="C7" s="14">
        <v>450.3</v>
      </c>
      <c r="D7" s="14">
        <v>1456.2</v>
      </c>
      <c r="E7" s="14">
        <v>2886.65</v>
      </c>
      <c r="F7" s="14">
        <v>1585.37</v>
      </c>
      <c r="G7" s="14">
        <v>5417.45</v>
      </c>
      <c r="H7" s="14">
        <v>1026.1600000000001</v>
      </c>
      <c r="I7" s="14">
        <v>999.01</v>
      </c>
      <c r="J7" s="15">
        <v>732.08</v>
      </c>
      <c r="K7" s="22">
        <f t="shared" si="0"/>
        <v>1819.1524999999999</v>
      </c>
      <c r="L7" s="9">
        <f t="shared" si="1"/>
        <v>14553.22</v>
      </c>
      <c r="M7" s="6"/>
      <c r="N7" s="7">
        <f t="shared" ref="N7:N70" si="5">1+N6</f>
        <v>3</v>
      </c>
      <c r="O7" s="13" t="s">
        <v>57</v>
      </c>
      <c r="P7" s="14">
        <v>119.11</v>
      </c>
      <c r="Q7" s="14">
        <v>216.02</v>
      </c>
      <c r="R7" s="14">
        <v>240.12</v>
      </c>
      <c r="S7" s="14">
        <v>301.69</v>
      </c>
      <c r="T7" s="14">
        <v>10760.14</v>
      </c>
      <c r="U7" s="14">
        <v>442.65</v>
      </c>
      <c r="V7" s="14">
        <v>402.11</v>
      </c>
      <c r="W7" s="15">
        <v>304.41000000000003</v>
      </c>
      <c r="X7" s="22">
        <f t="shared" si="2"/>
        <v>1598.28125</v>
      </c>
      <c r="Y7" s="9">
        <f t="shared" si="3"/>
        <v>12786.25</v>
      </c>
    </row>
    <row r="8" spans="1:25" ht="15.75">
      <c r="A8" s="7">
        <f t="shared" si="4"/>
        <v>5</v>
      </c>
      <c r="B8" s="13" t="s">
        <v>69</v>
      </c>
      <c r="C8" s="14">
        <v>1320.87</v>
      </c>
      <c r="D8" s="14">
        <v>1556.23</v>
      </c>
      <c r="E8" s="14">
        <v>2809.2</v>
      </c>
      <c r="F8" s="14">
        <v>1489.92</v>
      </c>
      <c r="G8" s="14">
        <v>1433.9</v>
      </c>
      <c r="H8" s="14">
        <v>2153.89</v>
      </c>
      <c r="I8" s="14">
        <v>2061.06</v>
      </c>
      <c r="J8" s="15">
        <v>1561.61</v>
      </c>
      <c r="K8" s="22">
        <f t="shared" si="0"/>
        <v>1798.3349999999998</v>
      </c>
      <c r="L8" s="9">
        <f t="shared" si="1"/>
        <v>14386.679999999998</v>
      </c>
      <c r="M8" s="6"/>
      <c r="N8" s="7">
        <f t="shared" si="5"/>
        <v>4</v>
      </c>
      <c r="O8" s="13" t="s">
        <v>106</v>
      </c>
      <c r="P8" s="14">
        <v>1680</v>
      </c>
      <c r="Q8" s="14">
        <v>1790</v>
      </c>
      <c r="R8" s="14">
        <v>1640</v>
      </c>
      <c r="S8" s="14">
        <v>1330</v>
      </c>
      <c r="T8" s="14">
        <v>2040</v>
      </c>
      <c r="U8" s="19"/>
      <c r="V8" s="19"/>
      <c r="W8" s="15">
        <v>4120</v>
      </c>
      <c r="X8" s="22">
        <f t="shared" si="2"/>
        <v>2100</v>
      </c>
      <c r="Y8" s="9">
        <f t="shared" si="3"/>
        <v>12600</v>
      </c>
    </row>
    <row r="9" spans="1:25" ht="15.75">
      <c r="A9" s="7">
        <f t="shared" si="4"/>
        <v>6</v>
      </c>
      <c r="B9" s="13" t="s">
        <v>71</v>
      </c>
      <c r="C9" s="14">
        <v>1382.09</v>
      </c>
      <c r="D9" s="14">
        <v>1398.81</v>
      </c>
      <c r="E9" s="14">
        <v>2133.88</v>
      </c>
      <c r="F9" s="14">
        <v>2117.35</v>
      </c>
      <c r="G9" s="14">
        <v>1325.25</v>
      </c>
      <c r="H9" s="14">
        <v>1693.03</v>
      </c>
      <c r="I9" s="14">
        <v>1990.27</v>
      </c>
      <c r="J9" s="15">
        <v>1510.25</v>
      </c>
      <c r="K9" s="22">
        <f t="shared" si="0"/>
        <v>1693.86625</v>
      </c>
      <c r="L9" s="9">
        <f t="shared" si="1"/>
        <v>13550.93</v>
      </c>
      <c r="M9" s="6"/>
      <c r="N9" s="7">
        <f t="shared" si="5"/>
        <v>5</v>
      </c>
      <c r="O9" s="13" t="s">
        <v>89</v>
      </c>
      <c r="P9" s="14">
        <v>1371.9</v>
      </c>
      <c r="Q9" s="14">
        <v>2432.3000000000002</v>
      </c>
      <c r="R9" s="14">
        <v>2093.48</v>
      </c>
      <c r="S9" s="14">
        <v>1430.41</v>
      </c>
      <c r="T9" s="14">
        <v>1286.31</v>
      </c>
      <c r="U9" s="14">
        <v>156.82</v>
      </c>
      <c r="V9" s="14">
        <v>1247.17</v>
      </c>
      <c r="W9" s="15">
        <v>1914.41</v>
      </c>
      <c r="X9" s="22">
        <f t="shared" si="2"/>
        <v>1491.6</v>
      </c>
      <c r="Y9" s="9">
        <f t="shared" si="3"/>
        <v>11932.8</v>
      </c>
    </row>
    <row r="10" spans="1:25" ht="15.75">
      <c r="A10" s="7">
        <f t="shared" si="4"/>
        <v>7</v>
      </c>
      <c r="B10" s="13" t="s">
        <v>87</v>
      </c>
      <c r="C10" s="14">
        <v>2491.4</v>
      </c>
      <c r="D10" s="14">
        <v>3014.26</v>
      </c>
      <c r="E10" s="14">
        <v>2039.01</v>
      </c>
      <c r="F10" s="14">
        <v>893.97</v>
      </c>
      <c r="G10" s="14">
        <v>1048.5899999999999</v>
      </c>
      <c r="H10" s="14">
        <v>1154.6300000000001</v>
      </c>
      <c r="I10" s="14">
        <v>1342.42</v>
      </c>
      <c r="J10" s="15">
        <v>1340.18</v>
      </c>
      <c r="K10" s="22">
        <f t="shared" si="0"/>
        <v>1665.5575000000001</v>
      </c>
      <c r="L10" s="9">
        <f t="shared" si="1"/>
        <v>13324.460000000001</v>
      </c>
      <c r="M10" s="6"/>
      <c r="N10" s="7">
        <f t="shared" si="5"/>
        <v>6</v>
      </c>
      <c r="O10" s="13" t="s">
        <v>8</v>
      </c>
      <c r="P10" s="14">
        <v>482.75</v>
      </c>
      <c r="Q10" s="14">
        <v>886.28</v>
      </c>
      <c r="R10" s="14">
        <v>3209.11</v>
      </c>
      <c r="S10" s="14">
        <v>1575.76</v>
      </c>
      <c r="T10" s="14">
        <v>1120.1199999999999</v>
      </c>
      <c r="U10" s="14">
        <v>1261.8399999999999</v>
      </c>
      <c r="V10" s="14">
        <v>1311.99</v>
      </c>
      <c r="W10" s="15">
        <v>285.62</v>
      </c>
      <c r="X10" s="22">
        <f t="shared" si="2"/>
        <v>1266.6837500000001</v>
      </c>
      <c r="Y10" s="9">
        <f t="shared" si="3"/>
        <v>10133.470000000001</v>
      </c>
    </row>
    <row r="11" spans="1:25" ht="15.75">
      <c r="A11" s="7">
        <f t="shared" si="4"/>
        <v>8</v>
      </c>
      <c r="B11" s="13" t="s">
        <v>89</v>
      </c>
      <c r="C11" s="14">
        <v>2189.75</v>
      </c>
      <c r="D11" s="14">
        <v>3153.81</v>
      </c>
      <c r="E11" s="14">
        <v>2298.5</v>
      </c>
      <c r="F11" s="14">
        <v>1279.8699999999999</v>
      </c>
      <c r="G11" s="14">
        <v>1221.4000000000001</v>
      </c>
      <c r="H11" s="14">
        <v>508.96</v>
      </c>
      <c r="I11" s="14">
        <v>1078.94</v>
      </c>
      <c r="J11" s="15">
        <v>1365.42</v>
      </c>
      <c r="K11" s="22">
        <f t="shared" si="0"/>
        <v>1637.08125</v>
      </c>
      <c r="L11" s="9">
        <f t="shared" si="1"/>
        <v>13096.65</v>
      </c>
      <c r="M11" s="6"/>
      <c r="N11" s="7">
        <f t="shared" si="5"/>
        <v>7</v>
      </c>
      <c r="O11" s="13" t="s">
        <v>91</v>
      </c>
      <c r="P11" s="14">
        <v>932.44</v>
      </c>
      <c r="Q11" s="14">
        <v>1165.6199999999999</v>
      </c>
      <c r="R11" s="14">
        <v>1033.45</v>
      </c>
      <c r="S11" s="14">
        <v>1085.6400000000001</v>
      </c>
      <c r="T11" s="14">
        <v>1091.3699999999999</v>
      </c>
      <c r="U11" s="14">
        <v>859.39</v>
      </c>
      <c r="V11" s="14">
        <v>933.13</v>
      </c>
      <c r="W11" s="15">
        <v>809.65</v>
      </c>
      <c r="X11" s="22">
        <f t="shared" si="2"/>
        <v>988.83625000000006</v>
      </c>
      <c r="Y11" s="9">
        <f t="shared" si="3"/>
        <v>7910.6900000000005</v>
      </c>
    </row>
    <row r="12" spans="1:25" ht="15.75">
      <c r="A12" s="7">
        <f t="shared" si="4"/>
        <v>9</v>
      </c>
      <c r="B12" s="13" t="s">
        <v>92</v>
      </c>
      <c r="C12" s="14">
        <v>960.76</v>
      </c>
      <c r="D12" s="14">
        <v>1430.73</v>
      </c>
      <c r="E12" s="14">
        <v>303.92</v>
      </c>
      <c r="F12" s="14">
        <v>1218.42</v>
      </c>
      <c r="G12" s="14">
        <v>858.94</v>
      </c>
      <c r="H12" s="14">
        <v>2684.12</v>
      </c>
      <c r="I12" s="14">
        <v>3214.1</v>
      </c>
      <c r="J12" s="15">
        <v>2361.42</v>
      </c>
      <c r="K12" s="22">
        <f t="shared" si="0"/>
        <v>1629.05125</v>
      </c>
      <c r="L12" s="9">
        <f t="shared" si="1"/>
        <v>13032.41</v>
      </c>
      <c r="M12" s="6"/>
      <c r="N12" s="7">
        <f t="shared" si="5"/>
        <v>8</v>
      </c>
      <c r="O12" s="13" t="s">
        <v>28</v>
      </c>
      <c r="P12" s="14">
        <v>139.83000000000001</v>
      </c>
      <c r="Q12" s="14">
        <v>5886.4</v>
      </c>
      <c r="R12" s="14">
        <v>168.91</v>
      </c>
      <c r="S12" s="14">
        <v>342.96</v>
      </c>
      <c r="T12" s="14">
        <v>427.7</v>
      </c>
      <c r="U12" s="14">
        <v>506.83</v>
      </c>
      <c r="V12" s="14">
        <v>114.37</v>
      </c>
      <c r="W12" s="15">
        <v>51.94</v>
      </c>
      <c r="X12" s="22">
        <f t="shared" si="2"/>
        <v>954.86749999999984</v>
      </c>
      <c r="Y12" s="9">
        <f t="shared" si="3"/>
        <v>7638.9399999999987</v>
      </c>
    </row>
    <row r="13" spans="1:25" ht="15.75">
      <c r="A13" s="7">
        <f t="shared" si="4"/>
        <v>10</v>
      </c>
      <c r="B13" s="13" t="s">
        <v>88</v>
      </c>
      <c r="C13" s="14">
        <v>1201.44</v>
      </c>
      <c r="D13" s="14">
        <v>1281.8599999999999</v>
      </c>
      <c r="E13" s="14">
        <v>825.19</v>
      </c>
      <c r="F13" s="14">
        <v>1826.59</v>
      </c>
      <c r="G13" s="14">
        <v>1622.56</v>
      </c>
      <c r="H13" s="14">
        <v>1721.04</v>
      </c>
      <c r="I13" s="14">
        <v>1180.68</v>
      </c>
      <c r="J13" s="15">
        <v>1751.79</v>
      </c>
      <c r="K13" s="22">
        <f t="shared" si="0"/>
        <v>1426.3937500000002</v>
      </c>
      <c r="L13" s="9">
        <f t="shared" si="1"/>
        <v>11411.150000000001</v>
      </c>
      <c r="M13" s="6"/>
      <c r="N13" s="7">
        <f t="shared" si="5"/>
        <v>9</v>
      </c>
      <c r="O13" s="13" t="s">
        <v>76</v>
      </c>
      <c r="P13" s="14">
        <v>893.29</v>
      </c>
      <c r="Q13" s="14">
        <v>1046</v>
      </c>
      <c r="R13" s="14">
        <v>1005.08</v>
      </c>
      <c r="S13" s="14">
        <v>698.34</v>
      </c>
      <c r="T13" s="14">
        <v>1005.32</v>
      </c>
      <c r="U13" s="14">
        <v>799.9</v>
      </c>
      <c r="V13" s="14">
        <v>756.17</v>
      </c>
      <c r="W13" s="15">
        <v>1094.43</v>
      </c>
      <c r="X13" s="22">
        <f t="shared" si="2"/>
        <v>912.31624999999997</v>
      </c>
      <c r="Y13" s="9">
        <f t="shared" si="3"/>
        <v>7298.53</v>
      </c>
    </row>
    <row r="14" spans="1:25" ht="15.75">
      <c r="A14" s="7">
        <f t="shared" si="4"/>
        <v>11</v>
      </c>
      <c r="B14" s="13" t="s">
        <v>81</v>
      </c>
      <c r="C14" s="14">
        <v>1334.88</v>
      </c>
      <c r="D14" s="14">
        <v>1255.01</v>
      </c>
      <c r="E14" s="14">
        <v>1976.3</v>
      </c>
      <c r="F14" s="14">
        <v>1476.95</v>
      </c>
      <c r="G14" s="14">
        <v>1397.2</v>
      </c>
      <c r="H14" s="14">
        <v>1284.8499999999999</v>
      </c>
      <c r="I14" s="14">
        <v>1307.99</v>
      </c>
      <c r="J14" s="15">
        <v>1311.66</v>
      </c>
      <c r="K14" s="22">
        <f t="shared" si="0"/>
        <v>1418.105</v>
      </c>
      <c r="L14" s="9">
        <f t="shared" si="1"/>
        <v>11344.84</v>
      </c>
      <c r="M14" s="6"/>
      <c r="N14" s="7">
        <f t="shared" si="5"/>
        <v>10</v>
      </c>
      <c r="O14" s="13" t="s">
        <v>9</v>
      </c>
      <c r="P14" s="14">
        <v>1005.09</v>
      </c>
      <c r="Q14" s="14">
        <v>1011.99</v>
      </c>
      <c r="R14" s="14">
        <v>745.12</v>
      </c>
      <c r="S14" s="14">
        <v>1041.45</v>
      </c>
      <c r="T14" s="14">
        <v>1440.01</v>
      </c>
      <c r="U14" s="14">
        <v>899.88</v>
      </c>
      <c r="V14" s="14">
        <v>449.24</v>
      </c>
      <c r="W14" s="15">
        <v>447.87</v>
      </c>
      <c r="X14" s="22">
        <f t="shared" si="2"/>
        <v>880.08124999999995</v>
      </c>
      <c r="Y14" s="9">
        <f t="shared" si="3"/>
        <v>7040.65</v>
      </c>
    </row>
    <row r="15" spans="1:25" ht="15.75">
      <c r="A15" s="7">
        <f t="shared" si="4"/>
        <v>12</v>
      </c>
      <c r="B15" s="13" t="s">
        <v>19</v>
      </c>
      <c r="C15" s="14">
        <v>1083.82</v>
      </c>
      <c r="D15" s="14">
        <v>1487.58</v>
      </c>
      <c r="E15" s="14">
        <v>1572.82</v>
      </c>
      <c r="F15" s="14">
        <v>1077.26</v>
      </c>
      <c r="G15" s="14">
        <v>1185.5</v>
      </c>
      <c r="H15" s="14">
        <v>1204.1099999999999</v>
      </c>
      <c r="I15" s="14">
        <v>762.22</v>
      </c>
      <c r="J15" s="15">
        <v>1205.1600000000001</v>
      </c>
      <c r="K15" s="22">
        <f t="shared" si="0"/>
        <v>1197.3087499999999</v>
      </c>
      <c r="L15" s="9">
        <f t="shared" si="1"/>
        <v>9578.4699999999993</v>
      </c>
      <c r="M15" s="6"/>
      <c r="N15" s="7">
        <f t="shared" si="5"/>
        <v>11</v>
      </c>
      <c r="O15" s="13" t="s">
        <v>21</v>
      </c>
      <c r="P15" s="14">
        <v>472.01</v>
      </c>
      <c r="Q15" s="14">
        <v>770.45</v>
      </c>
      <c r="R15" s="14">
        <v>566.78</v>
      </c>
      <c r="S15" s="14">
        <v>635.4</v>
      </c>
      <c r="T15" s="14">
        <v>1152.3399999999999</v>
      </c>
      <c r="U15" s="14">
        <v>2330.08</v>
      </c>
      <c r="V15" s="14">
        <v>546.12</v>
      </c>
      <c r="W15" s="15">
        <v>111.98</v>
      </c>
      <c r="X15" s="22">
        <f t="shared" si="2"/>
        <v>823.14499999999987</v>
      </c>
      <c r="Y15" s="9">
        <f t="shared" si="3"/>
        <v>6585.1599999999989</v>
      </c>
    </row>
    <row r="16" spans="1:25" ht="15.75">
      <c r="A16" s="7">
        <f t="shared" si="4"/>
        <v>13</v>
      </c>
      <c r="B16" s="13" t="s">
        <v>8</v>
      </c>
      <c r="C16" s="14">
        <v>1264.45</v>
      </c>
      <c r="D16" s="14">
        <v>1638.94</v>
      </c>
      <c r="E16" s="14">
        <v>1451.78</v>
      </c>
      <c r="F16" s="14">
        <v>1383.1</v>
      </c>
      <c r="G16" s="14">
        <v>1062.5899999999999</v>
      </c>
      <c r="H16" s="14">
        <v>844</v>
      </c>
      <c r="I16" s="14">
        <v>1010.76</v>
      </c>
      <c r="J16" s="15">
        <v>675.15</v>
      </c>
      <c r="K16" s="22">
        <f t="shared" si="0"/>
        <v>1166.3462500000001</v>
      </c>
      <c r="L16" s="9">
        <f t="shared" si="1"/>
        <v>9330.77</v>
      </c>
      <c r="M16" s="6"/>
      <c r="N16" s="7">
        <f t="shared" si="5"/>
        <v>12</v>
      </c>
      <c r="O16" s="13" t="s">
        <v>87</v>
      </c>
      <c r="P16" s="14">
        <v>442.43</v>
      </c>
      <c r="Q16" s="14">
        <v>871.89</v>
      </c>
      <c r="R16" s="14">
        <v>899.7</v>
      </c>
      <c r="S16" s="14">
        <v>518.12</v>
      </c>
      <c r="T16" s="14">
        <v>407.51</v>
      </c>
      <c r="U16" s="14">
        <v>476.33</v>
      </c>
      <c r="V16" s="14">
        <v>1252.27</v>
      </c>
      <c r="W16" s="15">
        <v>1542.38</v>
      </c>
      <c r="X16" s="22">
        <f t="shared" si="2"/>
        <v>801.32875000000001</v>
      </c>
      <c r="Y16" s="9">
        <f t="shared" si="3"/>
        <v>6410.63</v>
      </c>
    </row>
    <row r="17" spans="1:25" ht="15.75">
      <c r="A17" s="7">
        <f t="shared" si="4"/>
        <v>14</v>
      </c>
      <c r="B17" s="13" t="s">
        <v>46</v>
      </c>
      <c r="C17" s="14">
        <v>1143.96</v>
      </c>
      <c r="D17" s="14">
        <v>1255.6099999999999</v>
      </c>
      <c r="E17" s="14">
        <v>660.32</v>
      </c>
      <c r="F17" s="14">
        <v>1676.44</v>
      </c>
      <c r="G17" s="14">
        <v>1335.25</v>
      </c>
      <c r="H17" s="14">
        <v>923.8</v>
      </c>
      <c r="I17" s="14">
        <v>1071.32</v>
      </c>
      <c r="J17" s="15">
        <v>1088.9100000000001</v>
      </c>
      <c r="K17" s="22">
        <f t="shared" si="0"/>
        <v>1144.4512500000001</v>
      </c>
      <c r="L17" s="9">
        <f t="shared" si="1"/>
        <v>9155.61</v>
      </c>
      <c r="M17" s="6"/>
      <c r="N17" s="7">
        <f t="shared" si="5"/>
        <v>13</v>
      </c>
      <c r="O17" s="13" t="s">
        <v>39</v>
      </c>
      <c r="P17" s="14">
        <v>505.47</v>
      </c>
      <c r="Q17" s="14">
        <v>1029.5899999999999</v>
      </c>
      <c r="R17" s="14">
        <v>1052.47</v>
      </c>
      <c r="S17" s="14">
        <v>855.37</v>
      </c>
      <c r="T17" s="14">
        <v>861.54</v>
      </c>
      <c r="U17" s="14">
        <v>567.99</v>
      </c>
      <c r="V17" s="14">
        <v>729.25</v>
      </c>
      <c r="W17" s="15">
        <v>436.72</v>
      </c>
      <c r="X17" s="22">
        <f t="shared" si="2"/>
        <v>754.8</v>
      </c>
      <c r="Y17" s="9">
        <f t="shared" si="3"/>
        <v>6038.4</v>
      </c>
    </row>
    <row r="18" spans="1:25" ht="15.75">
      <c r="A18" s="7">
        <f t="shared" si="4"/>
        <v>15</v>
      </c>
      <c r="B18" s="13" t="s">
        <v>47</v>
      </c>
      <c r="C18" s="14">
        <v>944.322</v>
      </c>
      <c r="D18" s="14">
        <v>1236.2650000000001</v>
      </c>
      <c r="E18" s="14">
        <v>661.32</v>
      </c>
      <c r="F18" s="14">
        <v>1180.519</v>
      </c>
      <c r="G18" s="14">
        <v>1079.4949999999999</v>
      </c>
      <c r="H18" s="14">
        <v>1067.7909999999999</v>
      </c>
      <c r="I18" s="14">
        <v>948.05700000000002</v>
      </c>
      <c r="J18" s="15">
        <v>744.20399999999995</v>
      </c>
      <c r="K18" s="22">
        <f t="shared" si="0"/>
        <v>982.74662499999999</v>
      </c>
      <c r="L18" s="9">
        <f t="shared" si="1"/>
        <v>7861.973</v>
      </c>
      <c r="M18" s="6"/>
      <c r="N18" s="7">
        <f t="shared" si="5"/>
        <v>14</v>
      </c>
      <c r="O18" s="13" t="s">
        <v>44</v>
      </c>
      <c r="P18" s="14">
        <v>444.423</v>
      </c>
      <c r="Q18" s="14">
        <v>777.29100000000005</v>
      </c>
      <c r="R18" s="14">
        <v>874.79600000000005</v>
      </c>
      <c r="S18" s="14">
        <v>799.04600000000005</v>
      </c>
      <c r="T18" s="14">
        <v>932.00400000000002</v>
      </c>
      <c r="U18" s="14">
        <v>943.25400000000002</v>
      </c>
      <c r="V18" s="14">
        <v>605.74599999999998</v>
      </c>
      <c r="W18" s="15">
        <v>516.22400000000005</v>
      </c>
      <c r="X18" s="22">
        <f t="shared" si="2"/>
        <v>736.59800000000007</v>
      </c>
      <c r="Y18" s="9">
        <f t="shared" si="3"/>
        <v>5892.7840000000006</v>
      </c>
    </row>
    <row r="19" spans="1:25" ht="15.75">
      <c r="A19" s="7">
        <f t="shared" si="4"/>
        <v>16</v>
      </c>
      <c r="B19" s="13" t="s">
        <v>77</v>
      </c>
      <c r="C19" s="14">
        <v>766.51</v>
      </c>
      <c r="D19" s="14">
        <v>807.07</v>
      </c>
      <c r="E19" s="14">
        <v>628.16</v>
      </c>
      <c r="F19" s="14">
        <v>751.5</v>
      </c>
      <c r="G19" s="14">
        <v>672.13</v>
      </c>
      <c r="H19" s="14">
        <v>1022.77</v>
      </c>
      <c r="I19" s="14">
        <v>1998.05</v>
      </c>
      <c r="J19" s="15">
        <v>1010.83</v>
      </c>
      <c r="K19" s="22">
        <f t="shared" si="0"/>
        <v>957.12749999999994</v>
      </c>
      <c r="L19" s="9">
        <f t="shared" si="1"/>
        <v>7657.0199999999995</v>
      </c>
      <c r="M19" s="6"/>
      <c r="N19" s="7">
        <f t="shared" si="5"/>
        <v>15</v>
      </c>
      <c r="O19" s="13" t="s">
        <v>30</v>
      </c>
      <c r="P19" s="14">
        <v>27.31</v>
      </c>
      <c r="Q19" s="14">
        <v>72.33</v>
      </c>
      <c r="R19" s="14">
        <v>244.84</v>
      </c>
      <c r="S19" s="14">
        <v>212.56</v>
      </c>
      <c r="T19" s="14">
        <v>271.77</v>
      </c>
      <c r="U19" s="14">
        <v>2365.88</v>
      </c>
      <c r="V19" s="14">
        <v>222.38</v>
      </c>
      <c r="W19" s="15">
        <v>1895.14</v>
      </c>
      <c r="X19" s="22">
        <f t="shared" si="2"/>
        <v>664.02625</v>
      </c>
      <c r="Y19" s="9">
        <f t="shared" si="3"/>
        <v>5312.21</v>
      </c>
    </row>
    <row r="20" spans="1:25" ht="15.75">
      <c r="A20" s="7">
        <f t="shared" si="4"/>
        <v>17</v>
      </c>
      <c r="B20" s="13" t="s">
        <v>31</v>
      </c>
      <c r="C20" s="14">
        <v>1203.21</v>
      </c>
      <c r="D20" s="14">
        <v>987.25</v>
      </c>
      <c r="E20" s="14">
        <v>162.91999999999999</v>
      </c>
      <c r="F20" s="14">
        <v>640.38</v>
      </c>
      <c r="G20" s="14">
        <v>710.46</v>
      </c>
      <c r="H20" s="14">
        <v>1232.3800000000001</v>
      </c>
      <c r="I20" s="14">
        <v>1026.52</v>
      </c>
      <c r="J20" s="15">
        <v>1590.35</v>
      </c>
      <c r="K20" s="22">
        <f t="shared" si="0"/>
        <v>944.18375000000015</v>
      </c>
      <c r="L20" s="9">
        <f t="shared" si="1"/>
        <v>7553.4700000000012</v>
      </c>
      <c r="M20" s="6"/>
      <c r="N20" s="7">
        <f t="shared" si="5"/>
        <v>16</v>
      </c>
      <c r="O20" s="13" t="s">
        <v>65</v>
      </c>
      <c r="P20" s="14">
        <v>514.61</v>
      </c>
      <c r="Q20" s="14">
        <v>915.63</v>
      </c>
      <c r="R20" s="14">
        <v>460.88</v>
      </c>
      <c r="S20" s="14">
        <v>1010.31</v>
      </c>
      <c r="T20" s="14">
        <v>861.44</v>
      </c>
      <c r="U20" s="14">
        <v>254.61</v>
      </c>
      <c r="V20" s="14">
        <v>472.05</v>
      </c>
      <c r="W20" s="15">
        <v>633.92999999999995</v>
      </c>
      <c r="X20" s="22">
        <f t="shared" si="2"/>
        <v>640.4325</v>
      </c>
      <c r="Y20" s="9">
        <f t="shared" si="3"/>
        <v>5123.46</v>
      </c>
    </row>
    <row r="21" spans="1:25" ht="15.75">
      <c r="A21" s="7">
        <f t="shared" si="4"/>
        <v>18</v>
      </c>
      <c r="B21" s="13" t="s">
        <v>78</v>
      </c>
      <c r="C21" s="14">
        <v>820.85</v>
      </c>
      <c r="D21" s="14">
        <v>932.2</v>
      </c>
      <c r="E21" s="14">
        <v>917.76</v>
      </c>
      <c r="F21" s="14">
        <v>911.74</v>
      </c>
      <c r="G21" s="14">
        <v>885.12</v>
      </c>
      <c r="H21" s="14">
        <v>903.47</v>
      </c>
      <c r="I21" s="14">
        <v>1046.57</v>
      </c>
      <c r="J21" s="15">
        <v>1032.5</v>
      </c>
      <c r="K21" s="22">
        <f t="shared" si="0"/>
        <v>931.27625</v>
      </c>
      <c r="L21" s="9">
        <f t="shared" si="1"/>
        <v>7450.21</v>
      </c>
      <c r="M21" s="6"/>
      <c r="N21" s="7">
        <f t="shared" si="5"/>
        <v>17</v>
      </c>
      <c r="O21" s="13" t="s">
        <v>103</v>
      </c>
      <c r="P21" s="14">
        <v>2430</v>
      </c>
      <c r="Q21" s="14">
        <v>200</v>
      </c>
      <c r="R21" s="14">
        <v>910</v>
      </c>
      <c r="S21" s="14">
        <v>350</v>
      </c>
      <c r="T21" s="14">
        <v>300</v>
      </c>
      <c r="U21" s="19"/>
      <c r="V21" s="19"/>
      <c r="W21" s="15">
        <v>760</v>
      </c>
      <c r="X21" s="22">
        <f t="shared" si="2"/>
        <v>825</v>
      </c>
      <c r="Y21" s="9">
        <f t="shared" si="3"/>
        <v>4950</v>
      </c>
    </row>
    <row r="22" spans="1:25" ht="15.75">
      <c r="A22" s="7">
        <f t="shared" si="4"/>
        <v>19</v>
      </c>
      <c r="B22" s="13" t="s">
        <v>44</v>
      </c>
      <c r="C22" s="14">
        <v>726.36</v>
      </c>
      <c r="D22" s="14">
        <v>835.25</v>
      </c>
      <c r="E22" s="14">
        <v>558.35</v>
      </c>
      <c r="F22" s="14">
        <v>1004.39</v>
      </c>
      <c r="G22" s="14">
        <v>931.42</v>
      </c>
      <c r="H22" s="14">
        <v>1152.23</v>
      </c>
      <c r="I22" s="14">
        <v>1082.0899999999999</v>
      </c>
      <c r="J22" s="15">
        <v>1139.3800000000001</v>
      </c>
      <c r="K22" s="22">
        <f t="shared" si="0"/>
        <v>928.68375000000003</v>
      </c>
      <c r="L22" s="9">
        <f t="shared" si="1"/>
        <v>7429.47</v>
      </c>
      <c r="M22" s="6"/>
      <c r="N22" s="7">
        <f t="shared" si="5"/>
        <v>18</v>
      </c>
      <c r="O22" s="13" t="s">
        <v>31</v>
      </c>
      <c r="P22" s="14">
        <v>444.98</v>
      </c>
      <c r="Q22" s="14">
        <v>427.53</v>
      </c>
      <c r="R22" s="14">
        <v>317.49</v>
      </c>
      <c r="S22" s="14">
        <v>1118.31</v>
      </c>
      <c r="T22" s="14">
        <v>923.83</v>
      </c>
      <c r="U22" s="14">
        <v>661.86</v>
      </c>
      <c r="V22" s="14">
        <v>399.67</v>
      </c>
      <c r="W22" s="15">
        <v>271.95</v>
      </c>
      <c r="X22" s="22">
        <f t="shared" si="2"/>
        <v>570.70249999999999</v>
      </c>
      <c r="Y22" s="9">
        <f t="shared" si="3"/>
        <v>4565.62</v>
      </c>
    </row>
    <row r="23" spans="1:25" ht="15.75">
      <c r="A23" s="7">
        <f t="shared" si="4"/>
        <v>20</v>
      </c>
      <c r="B23" s="13" t="s">
        <v>80</v>
      </c>
      <c r="C23" s="14">
        <v>666.49</v>
      </c>
      <c r="D23" s="14">
        <v>904.58</v>
      </c>
      <c r="E23" s="14">
        <v>877.04</v>
      </c>
      <c r="F23" s="14">
        <v>747.03</v>
      </c>
      <c r="G23" s="14">
        <v>781.2</v>
      </c>
      <c r="H23" s="14">
        <v>1342.79</v>
      </c>
      <c r="I23" s="14">
        <v>1041.8699999999999</v>
      </c>
      <c r="J23" s="15">
        <v>836.64</v>
      </c>
      <c r="K23" s="22">
        <f t="shared" si="0"/>
        <v>899.70500000000004</v>
      </c>
      <c r="L23" s="9">
        <f t="shared" si="1"/>
        <v>7197.64</v>
      </c>
      <c r="M23" s="6"/>
      <c r="N23" s="7">
        <f t="shared" si="5"/>
        <v>19</v>
      </c>
      <c r="O23" s="13" t="s">
        <v>42</v>
      </c>
      <c r="P23" s="14">
        <v>433.94</v>
      </c>
      <c r="Q23" s="14">
        <v>442.08</v>
      </c>
      <c r="R23" s="14">
        <v>248.34</v>
      </c>
      <c r="S23" s="14">
        <v>692.65</v>
      </c>
      <c r="T23" s="14">
        <v>626.53</v>
      </c>
      <c r="U23" s="14">
        <v>404.12</v>
      </c>
      <c r="V23" s="14">
        <v>823.32</v>
      </c>
      <c r="W23" s="15">
        <v>699.78</v>
      </c>
      <c r="X23" s="22">
        <f t="shared" si="2"/>
        <v>546.34500000000003</v>
      </c>
      <c r="Y23" s="9">
        <f t="shared" si="3"/>
        <v>4370.76</v>
      </c>
    </row>
    <row r="24" spans="1:25" ht="15.75">
      <c r="A24" s="7">
        <f t="shared" si="4"/>
        <v>21</v>
      </c>
      <c r="B24" s="13" t="s">
        <v>107</v>
      </c>
      <c r="C24" s="14">
        <v>790</v>
      </c>
      <c r="D24" s="14">
        <v>860</v>
      </c>
      <c r="E24" s="14">
        <v>1230</v>
      </c>
      <c r="F24" s="14">
        <v>740</v>
      </c>
      <c r="G24" s="14">
        <v>880</v>
      </c>
      <c r="H24" s="14">
        <v>1670</v>
      </c>
      <c r="I24" s="14">
        <v>930</v>
      </c>
      <c r="J24" s="15">
        <v>0</v>
      </c>
      <c r="K24" s="22">
        <f t="shared" si="0"/>
        <v>887.5</v>
      </c>
      <c r="L24" s="9">
        <f t="shared" si="1"/>
        <v>7100</v>
      </c>
      <c r="M24" s="6"/>
      <c r="N24" s="7">
        <f t="shared" si="5"/>
        <v>20</v>
      </c>
      <c r="O24" s="13" t="s">
        <v>88</v>
      </c>
      <c r="P24" s="14">
        <v>235.52</v>
      </c>
      <c r="Q24" s="14">
        <v>935.71</v>
      </c>
      <c r="R24" s="14">
        <v>425.08</v>
      </c>
      <c r="S24" s="14">
        <v>494.25</v>
      </c>
      <c r="T24" s="14">
        <v>553.13</v>
      </c>
      <c r="U24" s="14">
        <v>389.65</v>
      </c>
      <c r="V24" s="14">
        <v>655.92</v>
      </c>
      <c r="W24" s="15">
        <v>605.94000000000005</v>
      </c>
      <c r="X24" s="22">
        <f t="shared" si="2"/>
        <v>536.90000000000009</v>
      </c>
      <c r="Y24" s="9">
        <f t="shared" si="3"/>
        <v>4295.2000000000007</v>
      </c>
    </row>
    <row r="25" spans="1:25" ht="15.75">
      <c r="A25" s="7">
        <f t="shared" si="4"/>
        <v>22</v>
      </c>
      <c r="B25" s="13" t="s">
        <v>103</v>
      </c>
      <c r="C25" s="14">
        <v>2000</v>
      </c>
      <c r="D25" s="14">
        <v>500</v>
      </c>
      <c r="E25" s="14">
        <v>890</v>
      </c>
      <c r="F25" s="14">
        <v>750</v>
      </c>
      <c r="G25" s="14">
        <v>770</v>
      </c>
      <c r="H25" s="19"/>
      <c r="I25" s="19"/>
      <c r="J25" s="15">
        <v>2000</v>
      </c>
      <c r="K25" s="22">
        <f t="shared" si="0"/>
        <v>1151.6666666666667</v>
      </c>
      <c r="L25" s="9">
        <f t="shared" si="1"/>
        <v>6910</v>
      </c>
      <c r="M25" s="6"/>
      <c r="N25" s="7">
        <f t="shared" si="5"/>
        <v>21</v>
      </c>
      <c r="O25" s="13" t="s">
        <v>41</v>
      </c>
      <c r="P25" s="14">
        <v>430.72</v>
      </c>
      <c r="Q25" s="14">
        <v>195.56</v>
      </c>
      <c r="R25" s="14">
        <v>662.13</v>
      </c>
      <c r="S25" s="14">
        <v>231.22</v>
      </c>
      <c r="T25" s="14">
        <v>541.26</v>
      </c>
      <c r="U25" s="14">
        <v>626.67999999999995</v>
      </c>
      <c r="V25" s="14">
        <v>235.27</v>
      </c>
      <c r="W25" s="15">
        <v>1188.82</v>
      </c>
      <c r="X25" s="22">
        <f t="shared" si="2"/>
        <v>513.95749999999998</v>
      </c>
      <c r="Y25" s="9">
        <f t="shared" si="3"/>
        <v>4111.66</v>
      </c>
    </row>
    <row r="26" spans="1:25" ht="15.75">
      <c r="A26" s="7">
        <f t="shared" si="4"/>
        <v>23</v>
      </c>
      <c r="B26" s="13" t="s">
        <v>108</v>
      </c>
      <c r="C26" s="14">
        <v>1700</v>
      </c>
      <c r="D26" s="14">
        <v>650</v>
      </c>
      <c r="E26" s="14">
        <v>750</v>
      </c>
      <c r="F26" s="14">
        <v>800</v>
      </c>
      <c r="G26" s="14">
        <v>800</v>
      </c>
      <c r="H26" s="19"/>
      <c r="I26" s="19"/>
      <c r="J26" s="15">
        <v>2100</v>
      </c>
      <c r="K26" s="22">
        <f t="shared" si="0"/>
        <v>1133.3333333333333</v>
      </c>
      <c r="L26" s="9">
        <f t="shared" si="1"/>
        <v>6800</v>
      </c>
      <c r="M26" s="6"/>
      <c r="N26" s="7">
        <f t="shared" si="5"/>
        <v>22</v>
      </c>
      <c r="O26" s="13" t="s">
        <v>36</v>
      </c>
      <c r="P26" s="14">
        <v>488.7</v>
      </c>
      <c r="Q26" s="14">
        <v>611.09</v>
      </c>
      <c r="R26" s="14">
        <v>351.11</v>
      </c>
      <c r="S26" s="14">
        <v>321.37</v>
      </c>
      <c r="T26" s="14">
        <v>675.21</v>
      </c>
      <c r="U26" s="14">
        <v>587.25</v>
      </c>
      <c r="V26" s="14">
        <v>588.57000000000005</v>
      </c>
      <c r="W26" s="15">
        <v>444.36</v>
      </c>
      <c r="X26" s="22">
        <f t="shared" si="2"/>
        <v>508.45750000000004</v>
      </c>
      <c r="Y26" s="9">
        <f t="shared" si="3"/>
        <v>4067.6600000000003</v>
      </c>
    </row>
    <row r="27" spans="1:25" ht="15.75">
      <c r="A27" s="7">
        <f t="shared" si="4"/>
        <v>24</v>
      </c>
      <c r="B27" s="13" t="s">
        <v>59</v>
      </c>
      <c r="C27" s="14">
        <v>727.65</v>
      </c>
      <c r="D27" s="14">
        <v>790.11</v>
      </c>
      <c r="E27" s="14">
        <v>829.14</v>
      </c>
      <c r="F27" s="14">
        <v>707.52</v>
      </c>
      <c r="G27" s="14">
        <v>713.01</v>
      </c>
      <c r="H27" s="14">
        <v>1181.7</v>
      </c>
      <c r="I27" s="14">
        <v>894.08</v>
      </c>
      <c r="J27" s="15">
        <v>813.25</v>
      </c>
      <c r="K27" s="22">
        <f t="shared" si="0"/>
        <v>832.0575</v>
      </c>
      <c r="L27" s="9">
        <f t="shared" si="1"/>
        <v>6656.46</v>
      </c>
      <c r="M27" s="6"/>
      <c r="N27" s="7">
        <f t="shared" si="5"/>
        <v>23</v>
      </c>
      <c r="O27" s="13" t="s">
        <v>59</v>
      </c>
      <c r="P27" s="14">
        <v>448.36</v>
      </c>
      <c r="Q27" s="14">
        <v>649</v>
      </c>
      <c r="R27" s="14">
        <v>307.38</v>
      </c>
      <c r="S27" s="14">
        <v>326.79000000000002</v>
      </c>
      <c r="T27" s="14">
        <v>597.76</v>
      </c>
      <c r="U27" s="14">
        <v>660.11</v>
      </c>
      <c r="V27" s="14">
        <v>446.53</v>
      </c>
      <c r="W27" s="15">
        <v>567.4</v>
      </c>
      <c r="X27" s="22">
        <f t="shared" si="2"/>
        <v>500.41625000000005</v>
      </c>
      <c r="Y27" s="9">
        <f t="shared" si="3"/>
        <v>4003.3300000000004</v>
      </c>
    </row>
    <row r="28" spans="1:25" ht="15.75">
      <c r="A28" s="7">
        <f t="shared" si="4"/>
        <v>25</v>
      </c>
      <c r="B28" s="13" t="s">
        <v>76</v>
      </c>
      <c r="C28" s="14">
        <v>1035.55</v>
      </c>
      <c r="D28" s="14">
        <v>1242.52</v>
      </c>
      <c r="E28" s="14">
        <v>1148.3599999999999</v>
      </c>
      <c r="F28" s="14">
        <v>592.63</v>
      </c>
      <c r="G28" s="14">
        <v>388.57</v>
      </c>
      <c r="H28" s="14">
        <v>674.46</v>
      </c>
      <c r="I28" s="14">
        <v>697.12</v>
      </c>
      <c r="J28" s="15">
        <v>770.11</v>
      </c>
      <c r="K28" s="22">
        <f t="shared" si="0"/>
        <v>818.66499999999985</v>
      </c>
      <c r="L28" s="9">
        <f t="shared" si="1"/>
        <v>6549.3199999999988</v>
      </c>
      <c r="M28" s="6"/>
      <c r="N28" s="7">
        <f t="shared" si="5"/>
        <v>24</v>
      </c>
      <c r="O28" s="13" t="s">
        <v>77</v>
      </c>
      <c r="P28" s="14">
        <v>313.64</v>
      </c>
      <c r="Q28" s="14">
        <v>542.80999999999995</v>
      </c>
      <c r="R28" s="14">
        <v>359.41</v>
      </c>
      <c r="S28" s="14">
        <v>179</v>
      </c>
      <c r="T28" s="14">
        <v>431.77</v>
      </c>
      <c r="U28" s="14">
        <v>1102.77</v>
      </c>
      <c r="V28" s="14">
        <v>292.82</v>
      </c>
      <c r="W28" s="15">
        <v>506.6</v>
      </c>
      <c r="X28" s="22">
        <f t="shared" si="2"/>
        <v>466.10249999999996</v>
      </c>
      <c r="Y28" s="9">
        <f t="shared" si="3"/>
        <v>3728.8199999999997</v>
      </c>
    </row>
    <row r="29" spans="1:25" ht="15.75">
      <c r="A29" s="7">
        <f t="shared" si="4"/>
        <v>26</v>
      </c>
      <c r="B29" s="13" t="s">
        <v>106</v>
      </c>
      <c r="C29" s="14">
        <v>1800</v>
      </c>
      <c r="D29" s="14">
        <v>1000</v>
      </c>
      <c r="E29" s="14">
        <v>700</v>
      </c>
      <c r="F29" s="14">
        <v>600</v>
      </c>
      <c r="G29" s="14">
        <v>700</v>
      </c>
      <c r="H29" s="19"/>
      <c r="I29" s="19"/>
      <c r="J29" s="15">
        <v>1500</v>
      </c>
      <c r="K29" s="22">
        <f t="shared" si="0"/>
        <v>1050</v>
      </c>
      <c r="L29" s="9">
        <f t="shared" si="1"/>
        <v>6300</v>
      </c>
      <c r="M29" s="6"/>
      <c r="N29" s="7">
        <f t="shared" si="5"/>
        <v>25</v>
      </c>
      <c r="O29" s="13" t="s">
        <v>81</v>
      </c>
      <c r="P29" s="14">
        <v>332.69</v>
      </c>
      <c r="Q29" s="14">
        <v>494.95</v>
      </c>
      <c r="R29" s="14">
        <v>529.70000000000005</v>
      </c>
      <c r="S29" s="14">
        <v>454.6</v>
      </c>
      <c r="T29" s="14">
        <v>540.96</v>
      </c>
      <c r="U29" s="14">
        <v>482.67</v>
      </c>
      <c r="V29" s="14">
        <v>358.31</v>
      </c>
      <c r="W29" s="15">
        <v>516.97</v>
      </c>
      <c r="X29" s="22">
        <f t="shared" si="2"/>
        <v>463.85625000000005</v>
      </c>
      <c r="Y29" s="9">
        <f t="shared" si="3"/>
        <v>3710.8500000000004</v>
      </c>
    </row>
    <row r="30" spans="1:25" ht="15.75">
      <c r="A30" s="7">
        <f t="shared" si="4"/>
        <v>27</v>
      </c>
      <c r="B30" s="13" t="s">
        <v>70</v>
      </c>
      <c r="C30" s="14">
        <v>558.54999999999995</v>
      </c>
      <c r="D30" s="14">
        <v>542.4</v>
      </c>
      <c r="E30" s="14">
        <v>1203.17</v>
      </c>
      <c r="F30" s="14">
        <v>845.92</v>
      </c>
      <c r="G30" s="14">
        <v>671.55</v>
      </c>
      <c r="H30" s="14">
        <v>809.24</v>
      </c>
      <c r="I30" s="14">
        <v>556.37</v>
      </c>
      <c r="J30" s="15">
        <v>573.09</v>
      </c>
      <c r="K30" s="22">
        <f t="shared" si="0"/>
        <v>720.03625</v>
      </c>
      <c r="L30" s="9">
        <f t="shared" si="1"/>
        <v>5760.29</v>
      </c>
      <c r="M30" s="6"/>
      <c r="N30" s="7">
        <f t="shared" si="5"/>
        <v>26</v>
      </c>
      <c r="O30" s="13" t="s">
        <v>58</v>
      </c>
      <c r="P30" s="14">
        <v>401.98</v>
      </c>
      <c r="Q30" s="14">
        <v>340.21</v>
      </c>
      <c r="R30" s="14">
        <v>371.66</v>
      </c>
      <c r="S30" s="14">
        <v>709.96</v>
      </c>
      <c r="T30" s="14">
        <v>565.66999999999996</v>
      </c>
      <c r="U30" s="14">
        <v>914.21</v>
      </c>
      <c r="V30" s="14">
        <v>143.54</v>
      </c>
      <c r="W30" s="15">
        <v>153.5</v>
      </c>
      <c r="X30" s="22">
        <f t="shared" si="2"/>
        <v>450.09125</v>
      </c>
      <c r="Y30" s="9">
        <f t="shared" si="3"/>
        <v>3600.73</v>
      </c>
    </row>
    <row r="31" spans="1:25" ht="15.75">
      <c r="A31" s="7">
        <f t="shared" si="4"/>
        <v>28</v>
      </c>
      <c r="B31" s="13" t="s">
        <v>40</v>
      </c>
      <c r="C31" s="14">
        <v>580.58000000000004</v>
      </c>
      <c r="D31" s="14">
        <v>718.32</v>
      </c>
      <c r="E31" s="14">
        <v>326.43</v>
      </c>
      <c r="F31" s="14">
        <v>873.08</v>
      </c>
      <c r="G31" s="14">
        <v>1260.45</v>
      </c>
      <c r="H31" s="14">
        <v>628.74</v>
      </c>
      <c r="I31" s="14">
        <v>590.1</v>
      </c>
      <c r="J31" s="15">
        <v>631.28</v>
      </c>
      <c r="K31" s="22">
        <f t="shared" si="0"/>
        <v>701.12250000000006</v>
      </c>
      <c r="L31" s="9">
        <f t="shared" si="1"/>
        <v>5608.9800000000005</v>
      </c>
      <c r="M31" s="6"/>
      <c r="N31" s="7">
        <f t="shared" si="5"/>
        <v>27</v>
      </c>
      <c r="O31" s="13" t="s">
        <v>46</v>
      </c>
      <c r="P31" s="14">
        <v>371.54</v>
      </c>
      <c r="Q31" s="14">
        <v>599.51</v>
      </c>
      <c r="R31" s="14">
        <v>658.61</v>
      </c>
      <c r="S31" s="14">
        <v>726.8</v>
      </c>
      <c r="T31" s="14">
        <v>345.66</v>
      </c>
      <c r="U31" s="14">
        <v>543.53</v>
      </c>
      <c r="V31" s="14">
        <v>187.68</v>
      </c>
      <c r="W31" s="15">
        <v>76.010000000000005</v>
      </c>
      <c r="X31" s="22">
        <f t="shared" si="2"/>
        <v>438.66749999999996</v>
      </c>
      <c r="Y31" s="9">
        <f t="shared" si="3"/>
        <v>3509.3399999999997</v>
      </c>
    </row>
    <row r="32" spans="1:25" ht="15.75">
      <c r="A32" s="7">
        <f t="shared" si="4"/>
        <v>29</v>
      </c>
      <c r="B32" s="13" t="s">
        <v>4</v>
      </c>
      <c r="C32" s="14">
        <v>687.5</v>
      </c>
      <c r="D32" s="14">
        <v>848.58</v>
      </c>
      <c r="E32" s="14">
        <v>567.78</v>
      </c>
      <c r="F32" s="14">
        <v>445.1</v>
      </c>
      <c r="G32" s="14">
        <v>1028.4000000000001</v>
      </c>
      <c r="H32" s="14">
        <v>653.15</v>
      </c>
      <c r="I32" s="14">
        <v>905.47</v>
      </c>
      <c r="J32" s="15">
        <v>416.51</v>
      </c>
      <c r="K32" s="22">
        <f t="shared" si="0"/>
        <v>694.06124999999997</v>
      </c>
      <c r="L32" s="9">
        <f t="shared" si="1"/>
        <v>5552.49</v>
      </c>
      <c r="M32" s="6"/>
      <c r="N32" s="7">
        <f t="shared" si="5"/>
        <v>28</v>
      </c>
      <c r="O32" s="13" t="s">
        <v>4</v>
      </c>
      <c r="P32" s="14">
        <v>166.1</v>
      </c>
      <c r="Q32" s="14">
        <v>287.82</v>
      </c>
      <c r="R32" s="14">
        <v>712.36</v>
      </c>
      <c r="S32" s="14">
        <v>403.32</v>
      </c>
      <c r="T32" s="14">
        <v>751.23</v>
      </c>
      <c r="U32" s="14">
        <v>338.86</v>
      </c>
      <c r="V32" s="14">
        <v>275.45999999999998</v>
      </c>
      <c r="W32" s="15">
        <v>541.54999999999995</v>
      </c>
      <c r="X32" s="22">
        <f t="shared" si="2"/>
        <v>434.58749999999998</v>
      </c>
      <c r="Y32" s="9">
        <f t="shared" si="3"/>
        <v>3476.7</v>
      </c>
    </row>
    <row r="33" spans="1:25" ht="15.75">
      <c r="A33" s="7">
        <f t="shared" si="4"/>
        <v>30</v>
      </c>
      <c r="B33" s="13" t="s">
        <v>21</v>
      </c>
      <c r="C33" s="14">
        <v>425.12</v>
      </c>
      <c r="D33" s="14">
        <v>127.65</v>
      </c>
      <c r="E33" s="14">
        <v>727.51</v>
      </c>
      <c r="F33" s="14">
        <v>235.21</v>
      </c>
      <c r="G33" s="14">
        <v>479.58</v>
      </c>
      <c r="H33" s="14">
        <v>1079.03</v>
      </c>
      <c r="I33" s="14">
        <v>1442.89</v>
      </c>
      <c r="J33" s="15">
        <v>637.28</v>
      </c>
      <c r="K33" s="22">
        <f t="shared" si="0"/>
        <v>644.28374999999994</v>
      </c>
      <c r="L33" s="9">
        <f t="shared" si="1"/>
        <v>5154.2699999999995</v>
      </c>
      <c r="M33" s="6"/>
      <c r="N33" s="7">
        <f t="shared" si="5"/>
        <v>29</v>
      </c>
      <c r="O33" s="13" t="s">
        <v>23</v>
      </c>
      <c r="P33" s="14">
        <v>351.67</v>
      </c>
      <c r="Q33" s="14">
        <v>294.77</v>
      </c>
      <c r="R33" s="14">
        <v>197.05</v>
      </c>
      <c r="S33" s="14">
        <v>775.45</v>
      </c>
      <c r="T33" s="14">
        <v>548.72</v>
      </c>
      <c r="U33" s="14">
        <v>395.81</v>
      </c>
      <c r="V33" s="14">
        <v>314.38</v>
      </c>
      <c r="W33" s="15">
        <v>482.66</v>
      </c>
      <c r="X33" s="22">
        <f t="shared" si="2"/>
        <v>420.06374999999997</v>
      </c>
      <c r="Y33" s="9">
        <f t="shared" si="3"/>
        <v>3360.5099999999998</v>
      </c>
    </row>
    <row r="34" spans="1:25" ht="15.75">
      <c r="A34" s="7">
        <f t="shared" si="4"/>
        <v>31</v>
      </c>
      <c r="B34" s="13" t="s">
        <v>9</v>
      </c>
      <c r="C34" s="14">
        <v>616.92999999999995</v>
      </c>
      <c r="D34" s="14">
        <v>583.54999999999995</v>
      </c>
      <c r="E34" s="14">
        <v>514.54999999999995</v>
      </c>
      <c r="F34" s="14">
        <v>757.72</v>
      </c>
      <c r="G34" s="14">
        <v>511.93</v>
      </c>
      <c r="H34" s="14">
        <v>520.35</v>
      </c>
      <c r="I34" s="14">
        <v>865.96</v>
      </c>
      <c r="J34" s="15">
        <v>463.33</v>
      </c>
      <c r="K34" s="22">
        <f t="shared" si="0"/>
        <v>604.29</v>
      </c>
      <c r="L34" s="9">
        <f t="shared" si="1"/>
        <v>4834.32</v>
      </c>
      <c r="M34" s="6"/>
      <c r="N34" s="7">
        <f t="shared" si="5"/>
        <v>30</v>
      </c>
      <c r="O34" s="13" t="s">
        <v>85</v>
      </c>
      <c r="P34" s="14">
        <v>76.400000000000006</v>
      </c>
      <c r="Q34" s="14">
        <v>0</v>
      </c>
      <c r="R34" s="14">
        <v>2374.4499999999998</v>
      </c>
      <c r="S34" s="14">
        <v>0</v>
      </c>
      <c r="T34" s="14">
        <v>620.77</v>
      </c>
      <c r="U34" s="14">
        <v>0</v>
      </c>
      <c r="V34" s="14">
        <v>0</v>
      </c>
      <c r="W34" s="15">
        <v>25.85</v>
      </c>
      <c r="X34" s="22">
        <f t="shared" si="2"/>
        <v>387.18374999999997</v>
      </c>
      <c r="Y34" s="9">
        <f t="shared" si="3"/>
        <v>3097.47</v>
      </c>
    </row>
    <row r="35" spans="1:25" ht="15.75">
      <c r="A35" s="7">
        <f t="shared" si="4"/>
        <v>32</v>
      </c>
      <c r="B35" s="13" t="s">
        <v>6</v>
      </c>
      <c r="C35" s="14">
        <v>613.86</v>
      </c>
      <c r="D35" s="14">
        <v>689.32</v>
      </c>
      <c r="E35" s="14">
        <v>567.49</v>
      </c>
      <c r="F35" s="14">
        <v>575</v>
      </c>
      <c r="G35" s="14">
        <v>507.73</v>
      </c>
      <c r="H35" s="14">
        <v>626.78</v>
      </c>
      <c r="I35" s="14">
        <v>574.41999999999996</v>
      </c>
      <c r="J35" s="15">
        <v>559.71</v>
      </c>
      <c r="K35" s="22">
        <f t="shared" si="0"/>
        <v>589.28875000000005</v>
      </c>
      <c r="L35" s="9">
        <f t="shared" si="1"/>
        <v>4714.3100000000004</v>
      </c>
      <c r="M35" s="6"/>
      <c r="N35" s="7">
        <f t="shared" si="5"/>
        <v>31</v>
      </c>
      <c r="O35" s="13" t="s">
        <v>20</v>
      </c>
      <c r="P35" s="14">
        <v>258.3</v>
      </c>
      <c r="Q35" s="14">
        <v>356.1</v>
      </c>
      <c r="R35" s="14">
        <v>493.57</v>
      </c>
      <c r="S35" s="14">
        <v>622</v>
      </c>
      <c r="T35" s="14">
        <v>221.31</v>
      </c>
      <c r="U35" s="14">
        <v>712.15</v>
      </c>
      <c r="V35" s="14">
        <v>254.54</v>
      </c>
      <c r="W35" s="15">
        <v>101.66</v>
      </c>
      <c r="X35" s="22">
        <f t="shared" si="2"/>
        <v>377.45374999999996</v>
      </c>
      <c r="Y35" s="9">
        <f t="shared" si="3"/>
        <v>3019.6299999999997</v>
      </c>
    </row>
    <row r="36" spans="1:25" ht="15.75">
      <c r="A36" s="7">
        <f t="shared" si="4"/>
        <v>33</v>
      </c>
      <c r="B36" s="13" t="s">
        <v>104</v>
      </c>
      <c r="C36" s="14">
        <v>1410</v>
      </c>
      <c r="D36" s="14">
        <v>450</v>
      </c>
      <c r="E36" s="14">
        <v>450</v>
      </c>
      <c r="F36" s="14">
        <v>340</v>
      </c>
      <c r="G36" s="14">
        <v>430</v>
      </c>
      <c r="H36" s="19"/>
      <c r="I36" s="19"/>
      <c r="J36" s="15">
        <v>1630</v>
      </c>
      <c r="K36" s="22">
        <f t="shared" ref="K36:K67" si="6">AVERAGE(C36:J36)</f>
        <v>785</v>
      </c>
      <c r="L36" s="9">
        <f t="shared" ref="L36:L67" si="7">SUM(C36:J36)</f>
        <v>4710</v>
      </c>
      <c r="M36" s="6"/>
      <c r="N36" s="7">
        <f t="shared" si="5"/>
        <v>32</v>
      </c>
      <c r="O36" s="13" t="s">
        <v>19</v>
      </c>
      <c r="P36" s="14">
        <v>377.87</v>
      </c>
      <c r="Q36" s="14">
        <v>168.23</v>
      </c>
      <c r="R36" s="14">
        <v>237.15</v>
      </c>
      <c r="S36" s="14">
        <v>339.43</v>
      </c>
      <c r="T36" s="14">
        <v>513.46</v>
      </c>
      <c r="U36" s="14">
        <v>402.61</v>
      </c>
      <c r="V36" s="14">
        <v>366.41</v>
      </c>
      <c r="W36" s="15">
        <v>554.89</v>
      </c>
      <c r="X36" s="22">
        <f t="shared" ref="X36:X67" si="8">AVERAGE(P36:W36)</f>
        <v>370.00624999999997</v>
      </c>
      <c r="Y36" s="9">
        <f t="shared" ref="Y36:Y67" si="9">SUM(P36:W36)</f>
        <v>2960.0499999999997</v>
      </c>
    </row>
    <row r="37" spans="1:25" ht="15.75">
      <c r="A37" s="7">
        <f t="shared" si="4"/>
        <v>34</v>
      </c>
      <c r="B37" s="13" t="s">
        <v>13</v>
      </c>
      <c r="C37" s="14">
        <v>555.19000000000005</v>
      </c>
      <c r="D37" s="14">
        <v>578.91999999999996</v>
      </c>
      <c r="E37" s="14">
        <v>648.04</v>
      </c>
      <c r="F37" s="14">
        <v>490.27</v>
      </c>
      <c r="G37" s="14">
        <v>525.78</v>
      </c>
      <c r="H37" s="14">
        <v>629.23</v>
      </c>
      <c r="I37" s="14">
        <v>597.66999999999996</v>
      </c>
      <c r="J37" s="15">
        <v>645.34</v>
      </c>
      <c r="K37" s="22">
        <f t="shared" si="6"/>
        <v>583.80499999999995</v>
      </c>
      <c r="L37" s="9">
        <f t="shared" si="7"/>
        <v>4670.4399999999996</v>
      </c>
      <c r="M37" s="6"/>
      <c r="N37" s="7">
        <f t="shared" si="5"/>
        <v>33</v>
      </c>
      <c r="O37" s="13" t="s">
        <v>47</v>
      </c>
      <c r="P37" s="14">
        <v>332.495</v>
      </c>
      <c r="Q37" s="14">
        <v>485.24400000000003</v>
      </c>
      <c r="R37" s="14">
        <v>315.86500000000001</v>
      </c>
      <c r="S37" s="14">
        <v>217.78399999999999</v>
      </c>
      <c r="T37" s="14">
        <v>366.04899999999998</v>
      </c>
      <c r="U37" s="14">
        <v>344.64299999999997</v>
      </c>
      <c r="V37" s="14">
        <v>510.61399999999998</v>
      </c>
      <c r="W37" s="15">
        <v>267.97000000000003</v>
      </c>
      <c r="X37" s="22">
        <f t="shared" si="8"/>
        <v>355.08299999999997</v>
      </c>
      <c r="Y37" s="9">
        <f t="shared" si="9"/>
        <v>2840.6639999999998</v>
      </c>
    </row>
    <row r="38" spans="1:25" ht="15.75">
      <c r="A38" s="7">
        <f t="shared" si="4"/>
        <v>35</v>
      </c>
      <c r="B38" s="13" t="s">
        <v>67</v>
      </c>
      <c r="C38" s="14">
        <v>433.69</v>
      </c>
      <c r="D38" s="14">
        <v>368.68</v>
      </c>
      <c r="E38" s="14">
        <v>750.66</v>
      </c>
      <c r="F38" s="14">
        <v>542.38</v>
      </c>
      <c r="G38" s="14">
        <v>601.82000000000005</v>
      </c>
      <c r="H38" s="14">
        <v>759.08</v>
      </c>
      <c r="I38" s="14">
        <v>616.58000000000004</v>
      </c>
      <c r="J38" s="15">
        <v>400.42</v>
      </c>
      <c r="K38" s="22">
        <f t="shared" si="6"/>
        <v>559.16374999999994</v>
      </c>
      <c r="L38" s="9">
        <f t="shared" si="7"/>
        <v>4473.3099999999995</v>
      </c>
      <c r="M38" s="6"/>
      <c r="N38" s="7">
        <f t="shared" si="5"/>
        <v>34</v>
      </c>
      <c r="O38" s="13" t="s">
        <v>66</v>
      </c>
      <c r="P38" s="14">
        <v>356.97</v>
      </c>
      <c r="Q38" s="14">
        <v>246.39</v>
      </c>
      <c r="R38" s="14">
        <v>181.69</v>
      </c>
      <c r="S38" s="14">
        <v>320.22000000000003</v>
      </c>
      <c r="T38" s="14">
        <v>334.99</v>
      </c>
      <c r="U38" s="14">
        <v>466.06</v>
      </c>
      <c r="V38" s="14">
        <v>427.31</v>
      </c>
      <c r="W38" s="15">
        <v>298.76</v>
      </c>
      <c r="X38" s="22">
        <f t="shared" si="8"/>
        <v>329.04875000000004</v>
      </c>
      <c r="Y38" s="9">
        <f t="shared" si="9"/>
        <v>2632.3900000000003</v>
      </c>
    </row>
    <row r="39" spans="1:25" ht="15.75">
      <c r="A39" s="7">
        <f t="shared" si="4"/>
        <v>36</v>
      </c>
      <c r="B39" s="13" t="s">
        <v>42</v>
      </c>
      <c r="C39" s="14">
        <v>417.04</v>
      </c>
      <c r="D39" s="14">
        <v>375.01</v>
      </c>
      <c r="E39" s="14">
        <v>370.36</v>
      </c>
      <c r="F39" s="14">
        <v>774.88</v>
      </c>
      <c r="G39" s="14">
        <v>662.75</v>
      </c>
      <c r="H39" s="14">
        <v>562.5</v>
      </c>
      <c r="I39" s="14">
        <v>508.22</v>
      </c>
      <c r="J39" s="15">
        <v>740.56</v>
      </c>
      <c r="K39" s="22">
        <f t="shared" si="6"/>
        <v>551.41499999999996</v>
      </c>
      <c r="L39" s="9">
        <f t="shared" si="7"/>
        <v>4411.32</v>
      </c>
      <c r="M39" s="6"/>
      <c r="N39" s="7">
        <f t="shared" si="5"/>
        <v>35</v>
      </c>
      <c r="O39" s="13" t="s">
        <v>92</v>
      </c>
      <c r="P39" s="14">
        <v>508.71</v>
      </c>
      <c r="Q39" s="14">
        <v>297.22000000000003</v>
      </c>
      <c r="R39" s="14">
        <v>353.29</v>
      </c>
      <c r="S39" s="14">
        <v>250.2</v>
      </c>
      <c r="T39" s="14">
        <v>147.61000000000001</v>
      </c>
      <c r="U39" s="14">
        <v>398.59</v>
      </c>
      <c r="V39" s="14">
        <v>320.24</v>
      </c>
      <c r="W39" s="15">
        <v>321.69</v>
      </c>
      <c r="X39" s="22">
        <f t="shared" si="8"/>
        <v>324.69375000000002</v>
      </c>
      <c r="Y39" s="9">
        <f t="shared" si="9"/>
        <v>2597.5500000000002</v>
      </c>
    </row>
    <row r="40" spans="1:25" ht="15.75">
      <c r="A40" s="7">
        <f t="shared" si="4"/>
        <v>37</v>
      </c>
      <c r="B40" s="13" t="s">
        <v>84</v>
      </c>
      <c r="C40" s="14">
        <v>500.39</v>
      </c>
      <c r="D40" s="14">
        <v>555.57000000000005</v>
      </c>
      <c r="E40" s="14">
        <v>504.12</v>
      </c>
      <c r="F40" s="14">
        <v>539.02</v>
      </c>
      <c r="G40" s="14">
        <v>502.89</v>
      </c>
      <c r="H40" s="14">
        <v>566.6</v>
      </c>
      <c r="I40" s="14">
        <v>445.57</v>
      </c>
      <c r="J40" s="15">
        <v>759.2</v>
      </c>
      <c r="K40" s="22">
        <f t="shared" si="6"/>
        <v>546.66999999999996</v>
      </c>
      <c r="L40" s="9">
        <f t="shared" si="7"/>
        <v>4373.3599999999997</v>
      </c>
      <c r="M40" s="6"/>
      <c r="N40" s="7">
        <f t="shared" si="5"/>
        <v>36</v>
      </c>
      <c r="O40" s="13" t="s">
        <v>69</v>
      </c>
      <c r="P40" s="14">
        <v>250.87</v>
      </c>
      <c r="Q40" s="14">
        <v>251.98</v>
      </c>
      <c r="R40" s="14">
        <v>358.62</v>
      </c>
      <c r="S40" s="14">
        <v>286.32</v>
      </c>
      <c r="T40" s="14">
        <v>554.86</v>
      </c>
      <c r="U40" s="14">
        <v>284.89</v>
      </c>
      <c r="V40" s="14">
        <v>327.84</v>
      </c>
      <c r="W40" s="15">
        <v>269.14</v>
      </c>
      <c r="X40" s="22">
        <f t="shared" si="8"/>
        <v>323.065</v>
      </c>
      <c r="Y40" s="9">
        <f t="shared" si="9"/>
        <v>2584.52</v>
      </c>
    </row>
    <row r="41" spans="1:25" ht="15.75">
      <c r="A41" s="7">
        <f t="shared" si="4"/>
        <v>38</v>
      </c>
      <c r="B41" s="13" t="s">
        <v>90</v>
      </c>
      <c r="C41" s="14">
        <v>332.77</v>
      </c>
      <c r="D41" s="14">
        <v>733.03</v>
      </c>
      <c r="E41" s="14">
        <v>1062.5999999999999</v>
      </c>
      <c r="F41" s="14">
        <v>235.5</v>
      </c>
      <c r="G41" s="14">
        <v>241.78</v>
      </c>
      <c r="H41" s="14">
        <v>1209.8399999999999</v>
      </c>
      <c r="I41" s="14">
        <v>291.63</v>
      </c>
      <c r="J41" s="15">
        <v>250.28</v>
      </c>
      <c r="K41" s="22">
        <f t="shared" si="6"/>
        <v>544.67874999999992</v>
      </c>
      <c r="L41" s="9">
        <f t="shared" si="7"/>
        <v>4357.4299999999994</v>
      </c>
      <c r="M41" s="6"/>
      <c r="N41" s="7">
        <f t="shared" si="5"/>
        <v>37</v>
      </c>
      <c r="O41" s="13" t="s">
        <v>63</v>
      </c>
      <c r="P41" s="14">
        <v>263.56</v>
      </c>
      <c r="Q41" s="14">
        <v>408.87</v>
      </c>
      <c r="R41" s="14">
        <v>247.23</v>
      </c>
      <c r="S41" s="14">
        <v>181.81</v>
      </c>
      <c r="T41" s="14">
        <v>343.57</v>
      </c>
      <c r="U41" s="14">
        <v>343.49</v>
      </c>
      <c r="V41" s="14">
        <v>370.58</v>
      </c>
      <c r="W41" s="15">
        <v>110.7</v>
      </c>
      <c r="X41" s="22">
        <f t="shared" si="8"/>
        <v>283.72624999999999</v>
      </c>
      <c r="Y41" s="9">
        <f t="shared" si="9"/>
        <v>2269.81</v>
      </c>
    </row>
    <row r="42" spans="1:25" ht="15.75">
      <c r="A42" s="7">
        <f t="shared" si="4"/>
        <v>39</v>
      </c>
      <c r="B42" s="13" t="s">
        <v>72</v>
      </c>
      <c r="C42" s="14">
        <v>488.45</v>
      </c>
      <c r="D42" s="14">
        <v>549.05999999999995</v>
      </c>
      <c r="E42" s="14">
        <v>611.79</v>
      </c>
      <c r="F42" s="14">
        <v>517.17999999999995</v>
      </c>
      <c r="G42" s="14">
        <v>510.73</v>
      </c>
      <c r="H42" s="14">
        <v>548.73</v>
      </c>
      <c r="I42" s="14">
        <v>525.65</v>
      </c>
      <c r="J42" s="15">
        <v>544.59</v>
      </c>
      <c r="K42" s="22">
        <f t="shared" si="6"/>
        <v>537.02250000000004</v>
      </c>
      <c r="L42" s="9">
        <f t="shared" si="7"/>
        <v>4296.18</v>
      </c>
      <c r="M42" s="6"/>
      <c r="N42" s="7">
        <f t="shared" si="5"/>
        <v>38</v>
      </c>
      <c r="O42" s="13" t="s">
        <v>71</v>
      </c>
      <c r="P42" s="14">
        <v>329.67</v>
      </c>
      <c r="Q42" s="14">
        <v>164.94</v>
      </c>
      <c r="R42" s="14">
        <v>323.32</v>
      </c>
      <c r="S42" s="14">
        <v>239.99</v>
      </c>
      <c r="T42" s="14">
        <v>357.12</v>
      </c>
      <c r="U42" s="14">
        <v>193</v>
      </c>
      <c r="V42" s="14">
        <v>521.29999999999995</v>
      </c>
      <c r="W42" s="15">
        <v>103.45</v>
      </c>
      <c r="X42" s="22">
        <f t="shared" si="8"/>
        <v>279.09875</v>
      </c>
      <c r="Y42" s="9">
        <f t="shared" si="9"/>
        <v>2232.79</v>
      </c>
    </row>
    <row r="43" spans="1:25" ht="15.75">
      <c r="A43" s="7">
        <f t="shared" si="4"/>
        <v>40</v>
      </c>
      <c r="B43" s="13" t="s">
        <v>27</v>
      </c>
      <c r="C43" s="14">
        <v>505.93</v>
      </c>
      <c r="D43" s="14">
        <v>463.95</v>
      </c>
      <c r="E43" s="14">
        <v>217.68</v>
      </c>
      <c r="F43" s="14">
        <v>1061.1500000000001</v>
      </c>
      <c r="G43" s="14">
        <v>970.45</v>
      </c>
      <c r="H43" s="14">
        <v>270.08999999999997</v>
      </c>
      <c r="I43" s="14">
        <v>415.45</v>
      </c>
      <c r="J43" s="15">
        <v>276.38</v>
      </c>
      <c r="K43" s="22">
        <f t="shared" si="6"/>
        <v>522.63499999999999</v>
      </c>
      <c r="L43" s="9">
        <f t="shared" si="7"/>
        <v>4181.08</v>
      </c>
      <c r="M43" s="6"/>
      <c r="N43" s="7">
        <f t="shared" si="5"/>
        <v>39</v>
      </c>
      <c r="O43" s="13" t="s">
        <v>84</v>
      </c>
      <c r="P43" s="14">
        <v>279.32</v>
      </c>
      <c r="Q43" s="14">
        <v>282.39999999999998</v>
      </c>
      <c r="R43" s="14">
        <v>274.08999999999997</v>
      </c>
      <c r="S43" s="14">
        <v>467.37</v>
      </c>
      <c r="T43" s="14">
        <v>291.49</v>
      </c>
      <c r="U43" s="14">
        <v>171.06</v>
      </c>
      <c r="V43" s="14">
        <v>239.86</v>
      </c>
      <c r="W43" s="15">
        <v>224.21</v>
      </c>
      <c r="X43" s="22">
        <f t="shared" si="8"/>
        <v>278.72499999999997</v>
      </c>
      <c r="Y43" s="9">
        <f t="shared" si="9"/>
        <v>2229.7999999999997</v>
      </c>
    </row>
    <row r="44" spans="1:25" ht="15.75">
      <c r="A44" s="7">
        <f t="shared" si="4"/>
        <v>41</v>
      </c>
      <c r="B44" s="13" t="s">
        <v>62</v>
      </c>
      <c r="C44" s="14">
        <v>481.6</v>
      </c>
      <c r="D44" s="14">
        <v>472.48</v>
      </c>
      <c r="E44" s="14">
        <v>380.17</v>
      </c>
      <c r="F44" s="14">
        <v>716.4</v>
      </c>
      <c r="G44" s="14">
        <v>455.08</v>
      </c>
      <c r="H44" s="14">
        <v>782.18</v>
      </c>
      <c r="I44" s="14">
        <v>358.57</v>
      </c>
      <c r="J44" s="15">
        <v>532.38</v>
      </c>
      <c r="K44" s="22">
        <f t="shared" si="6"/>
        <v>522.35749999999996</v>
      </c>
      <c r="L44" s="9">
        <f t="shared" si="7"/>
        <v>4178.8599999999997</v>
      </c>
      <c r="M44" s="6"/>
      <c r="N44" s="7">
        <f t="shared" si="5"/>
        <v>40</v>
      </c>
      <c r="O44" s="13" t="s">
        <v>35</v>
      </c>
      <c r="P44" s="14">
        <v>356.55</v>
      </c>
      <c r="Q44" s="14">
        <v>633.72</v>
      </c>
      <c r="R44" s="14">
        <v>99.64</v>
      </c>
      <c r="S44" s="14">
        <v>284.36</v>
      </c>
      <c r="T44" s="14">
        <v>183.7</v>
      </c>
      <c r="U44" s="14">
        <v>249.01</v>
      </c>
      <c r="V44" s="14">
        <v>255.73</v>
      </c>
      <c r="W44" s="15">
        <v>160.76</v>
      </c>
      <c r="X44" s="22">
        <f t="shared" si="8"/>
        <v>277.93375000000003</v>
      </c>
      <c r="Y44" s="9">
        <f t="shared" si="9"/>
        <v>2223.4700000000003</v>
      </c>
    </row>
    <row r="45" spans="1:25" ht="15.75">
      <c r="A45" s="7">
        <f t="shared" si="4"/>
        <v>42</v>
      </c>
      <c r="B45" s="13" t="s">
        <v>18</v>
      </c>
      <c r="C45" s="14">
        <v>575.72</v>
      </c>
      <c r="D45" s="14">
        <v>733.33</v>
      </c>
      <c r="E45" s="14">
        <v>315.51</v>
      </c>
      <c r="F45" s="14">
        <v>362.97</v>
      </c>
      <c r="G45" s="14">
        <v>429.58</v>
      </c>
      <c r="H45" s="14">
        <v>557.99</v>
      </c>
      <c r="I45" s="14">
        <v>476.21</v>
      </c>
      <c r="J45" s="15">
        <v>573.79999999999995</v>
      </c>
      <c r="K45" s="22">
        <f t="shared" si="6"/>
        <v>503.13875000000007</v>
      </c>
      <c r="L45" s="9">
        <f t="shared" si="7"/>
        <v>4025.1100000000006</v>
      </c>
      <c r="M45" s="6"/>
      <c r="N45" s="7">
        <f t="shared" si="5"/>
        <v>41</v>
      </c>
      <c r="O45" s="13" t="s">
        <v>13</v>
      </c>
      <c r="P45" s="14">
        <v>159.62</v>
      </c>
      <c r="Q45" s="14">
        <v>511.7</v>
      </c>
      <c r="R45" s="14">
        <v>276.39999999999998</v>
      </c>
      <c r="S45" s="14">
        <v>211.7</v>
      </c>
      <c r="T45" s="14">
        <v>295.35000000000002</v>
      </c>
      <c r="U45" s="14">
        <v>250.39</v>
      </c>
      <c r="V45" s="14">
        <v>213.7</v>
      </c>
      <c r="W45" s="15">
        <v>238.34</v>
      </c>
      <c r="X45" s="22">
        <f t="shared" si="8"/>
        <v>269.64999999999998</v>
      </c>
      <c r="Y45" s="9">
        <f t="shared" si="9"/>
        <v>2157.1999999999998</v>
      </c>
    </row>
    <row r="46" spans="1:25" ht="15.75">
      <c r="A46" s="7">
        <f t="shared" si="4"/>
        <v>43</v>
      </c>
      <c r="B46" s="13" t="s">
        <v>35</v>
      </c>
      <c r="C46" s="14">
        <v>509</v>
      </c>
      <c r="D46" s="14">
        <v>455.02</v>
      </c>
      <c r="E46" s="14">
        <v>211.44</v>
      </c>
      <c r="F46" s="14">
        <v>826.6</v>
      </c>
      <c r="G46" s="14">
        <v>420.25</v>
      </c>
      <c r="H46" s="14">
        <v>541.46</v>
      </c>
      <c r="I46" s="14">
        <v>453.38</v>
      </c>
      <c r="J46" s="15">
        <v>471.54</v>
      </c>
      <c r="K46" s="22">
        <f t="shared" si="6"/>
        <v>486.08625000000001</v>
      </c>
      <c r="L46" s="9">
        <f t="shared" si="7"/>
        <v>3888.69</v>
      </c>
      <c r="M46" s="6"/>
      <c r="N46" s="7">
        <f t="shared" si="5"/>
        <v>42</v>
      </c>
      <c r="O46" s="13" t="s">
        <v>62</v>
      </c>
      <c r="P46" s="14">
        <v>201.11</v>
      </c>
      <c r="Q46" s="14">
        <v>121.04</v>
      </c>
      <c r="R46" s="14">
        <v>329.52</v>
      </c>
      <c r="S46" s="14">
        <v>384.5</v>
      </c>
      <c r="T46" s="14">
        <v>486.62</v>
      </c>
      <c r="U46" s="14">
        <v>290.77</v>
      </c>
      <c r="V46" s="14">
        <v>94.94</v>
      </c>
      <c r="W46" s="15">
        <v>174.03</v>
      </c>
      <c r="X46" s="22">
        <f t="shared" si="8"/>
        <v>260.31625000000003</v>
      </c>
      <c r="Y46" s="9">
        <f t="shared" si="9"/>
        <v>2082.5300000000002</v>
      </c>
    </row>
    <row r="47" spans="1:25" ht="15.75">
      <c r="A47" s="7">
        <f t="shared" si="4"/>
        <v>44</v>
      </c>
      <c r="B47" s="13" t="s">
        <v>61</v>
      </c>
      <c r="C47" s="14">
        <v>354.84</v>
      </c>
      <c r="D47" s="14">
        <v>415.41</v>
      </c>
      <c r="E47" s="14">
        <v>267.92</v>
      </c>
      <c r="F47" s="14">
        <v>570.91</v>
      </c>
      <c r="G47" s="14">
        <v>371.3</v>
      </c>
      <c r="H47" s="14">
        <v>632.77</v>
      </c>
      <c r="I47" s="14">
        <v>831.41</v>
      </c>
      <c r="J47" s="15">
        <v>429.09</v>
      </c>
      <c r="K47" s="22">
        <f t="shared" si="6"/>
        <v>484.20624999999995</v>
      </c>
      <c r="L47" s="9">
        <f t="shared" si="7"/>
        <v>3873.6499999999996</v>
      </c>
      <c r="M47" s="6"/>
      <c r="N47" s="7">
        <f t="shared" si="5"/>
        <v>43</v>
      </c>
      <c r="O47" s="13" t="s">
        <v>27</v>
      </c>
      <c r="P47" s="14">
        <v>137.69999999999999</v>
      </c>
      <c r="Q47" s="14">
        <v>204.92</v>
      </c>
      <c r="R47" s="14">
        <v>321.08999999999997</v>
      </c>
      <c r="S47" s="14">
        <v>402.18</v>
      </c>
      <c r="T47" s="14">
        <v>305.83999999999997</v>
      </c>
      <c r="U47" s="14">
        <v>290.57</v>
      </c>
      <c r="V47" s="14">
        <v>270.45</v>
      </c>
      <c r="W47" s="15">
        <v>111.8</v>
      </c>
      <c r="X47" s="22">
        <f t="shared" si="8"/>
        <v>255.56874999999999</v>
      </c>
      <c r="Y47" s="9">
        <f t="shared" si="9"/>
        <v>2044.55</v>
      </c>
    </row>
    <row r="48" spans="1:25" ht="15.75">
      <c r="A48" s="7">
        <f t="shared" si="4"/>
        <v>45</v>
      </c>
      <c r="B48" s="13" t="s">
        <v>5</v>
      </c>
      <c r="C48" s="14">
        <v>485.97</v>
      </c>
      <c r="D48" s="14">
        <v>488.47</v>
      </c>
      <c r="E48" s="14">
        <v>349.06</v>
      </c>
      <c r="F48" s="14">
        <v>355.51</v>
      </c>
      <c r="G48" s="14">
        <v>429.29</v>
      </c>
      <c r="H48" s="14">
        <v>553.07000000000005</v>
      </c>
      <c r="I48" s="14">
        <v>643.75</v>
      </c>
      <c r="J48" s="15">
        <v>561.85</v>
      </c>
      <c r="K48" s="22">
        <f t="shared" si="6"/>
        <v>483.37125000000003</v>
      </c>
      <c r="L48" s="9">
        <f t="shared" si="7"/>
        <v>3866.9700000000003</v>
      </c>
      <c r="M48" s="6"/>
      <c r="N48" s="7">
        <f t="shared" si="5"/>
        <v>44</v>
      </c>
      <c r="O48" s="13" t="s">
        <v>54</v>
      </c>
      <c r="P48" s="14">
        <v>460.08</v>
      </c>
      <c r="Q48" s="14">
        <v>164.57</v>
      </c>
      <c r="R48" s="14">
        <v>282.56</v>
      </c>
      <c r="S48" s="14">
        <v>270.85000000000002</v>
      </c>
      <c r="T48" s="14">
        <v>339.5</v>
      </c>
      <c r="U48" s="14">
        <v>227.61</v>
      </c>
      <c r="V48" s="14">
        <v>104.8</v>
      </c>
      <c r="W48" s="15">
        <v>132.84</v>
      </c>
      <c r="X48" s="22">
        <f t="shared" si="8"/>
        <v>247.85124999999999</v>
      </c>
      <c r="Y48" s="9">
        <f t="shared" si="9"/>
        <v>1982.81</v>
      </c>
    </row>
    <row r="49" spans="1:25" ht="15.75">
      <c r="A49" s="7">
        <f t="shared" si="4"/>
        <v>46</v>
      </c>
      <c r="B49" s="24" t="s">
        <v>105</v>
      </c>
      <c r="C49" s="14">
        <v>586.13</v>
      </c>
      <c r="D49" s="14">
        <v>485.98</v>
      </c>
      <c r="E49" s="14">
        <v>230.56</v>
      </c>
      <c r="F49" s="14">
        <v>81.96</v>
      </c>
      <c r="G49" s="14">
        <v>633.82000000000005</v>
      </c>
      <c r="H49" s="14">
        <v>479.49</v>
      </c>
      <c r="I49" s="14">
        <v>503.59</v>
      </c>
      <c r="J49" s="15">
        <v>769.12</v>
      </c>
      <c r="K49" s="22">
        <f t="shared" si="6"/>
        <v>471.33125000000007</v>
      </c>
      <c r="L49" s="9">
        <f t="shared" si="7"/>
        <v>3770.6500000000005</v>
      </c>
      <c r="M49" s="6"/>
      <c r="N49" s="7">
        <f t="shared" si="5"/>
        <v>45</v>
      </c>
      <c r="O49" s="13" t="s">
        <v>78</v>
      </c>
      <c r="P49" s="14">
        <v>378.28</v>
      </c>
      <c r="Q49" s="14">
        <v>194.13</v>
      </c>
      <c r="R49" s="14">
        <v>306.64999999999998</v>
      </c>
      <c r="S49" s="14">
        <v>140.24</v>
      </c>
      <c r="T49" s="14">
        <v>230.85</v>
      </c>
      <c r="U49" s="14">
        <v>258.42</v>
      </c>
      <c r="V49" s="14">
        <v>190.39</v>
      </c>
      <c r="W49" s="15">
        <v>273.77999999999997</v>
      </c>
      <c r="X49" s="22">
        <f t="shared" si="8"/>
        <v>246.5925</v>
      </c>
      <c r="Y49" s="9">
        <f t="shared" si="9"/>
        <v>1972.74</v>
      </c>
    </row>
    <row r="50" spans="1:25" ht="15.75">
      <c r="A50" s="7">
        <f t="shared" si="4"/>
        <v>47</v>
      </c>
      <c r="B50" s="13" t="s">
        <v>73</v>
      </c>
      <c r="C50" s="14">
        <v>376.38</v>
      </c>
      <c r="D50" s="14">
        <v>400.03</v>
      </c>
      <c r="E50" s="14">
        <v>401.26</v>
      </c>
      <c r="F50" s="14">
        <v>397.98</v>
      </c>
      <c r="G50" s="14">
        <v>408.43</v>
      </c>
      <c r="H50" s="14">
        <v>480.05</v>
      </c>
      <c r="I50" s="14">
        <v>420.45</v>
      </c>
      <c r="J50" s="15">
        <v>432.72</v>
      </c>
      <c r="K50" s="22">
        <f t="shared" si="6"/>
        <v>414.66250000000002</v>
      </c>
      <c r="L50" s="9">
        <f t="shared" si="7"/>
        <v>3317.3</v>
      </c>
      <c r="M50" s="6"/>
      <c r="N50" s="7">
        <f t="shared" si="5"/>
        <v>46</v>
      </c>
      <c r="O50" s="13" t="s">
        <v>49</v>
      </c>
      <c r="P50" s="14">
        <v>340.22</v>
      </c>
      <c r="Q50" s="14">
        <v>206.67</v>
      </c>
      <c r="R50" s="14">
        <v>110.09</v>
      </c>
      <c r="S50" s="14">
        <v>343.95</v>
      </c>
      <c r="T50" s="14">
        <v>270.24</v>
      </c>
      <c r="U50" s="14">
        <v>162.36000000000001</v>
      </c>
      <c r="V50" s="14">
        <v>185.49</v>
      </c>
      <c r="W50" s="15">
        <v>343.11</v>
      </c>
      <c r="X50" s="22">
        <f t="shared" si="8"/>
        <v>245.26625000000001</v>
      </c>
      <c r="Y50" s="9">
        <f t="shared" si="9"/>
        <v>1962.13</v>
      </c>
    </row>
    <row r="51" spans="1:25" ht="15.75">
      <c r="A51" s="7">
        <f t="shared" si="4"/>
        <v>48</v>
      </c>
      <c r="B51" s="13" t="s">
        <v>56</v>
      </c>
      <c r="C51" s="14">
        <v>321.77999999999997</v>
      </c>
      <c r="D51" s="14">
        <v>273.35000000000002</v>
      </c>
      <c r="E51" s="14">
        <v>209.65</v>
      </c>
      <c r="F51" s="14">
        <v>396.76</v>
      </c>
      <c r="G51" s="14">
        <v>675.53</v>
      </c>
      <c r="H51" s="14">
        <v>408.47</v>
      </c>
      <c r="I51" s="14">
        <v>622.52</v>
      </c>
      <c r="J51" s="15">
        <v>285.05</v>
      </c>
      <c r="K51" s="22">
        <f t="shared" si="6"/>
        <v>399.13875000000002</v>
      </c>
      <c r="L51" s="9">
        <f t="shared" si="7"/>
        <v>3193.11</v>
      </c>
      <c r="M51" s="6"/>
      <c r="N51" s="7">
        <f t="shared" si="5"/>
        <v>47</v>
      </c>
      <c r="O51" s="13" t="s">
        <v>80</v>
      </c>
      <c r="P51" s="14">
        <v>105.03</v>
      </c>
      <c r="Q51" s="14">
        <v>338.76</v>
      </c>
      <c r="R51" s="14">
        <v>223.72</v>
      </c>
      <c r="S51" s="14">
        <v>167.51</v>
      </c>
      <c r="T51" s="14">
        <v>242.44</v>
      </c>
      <c r="U51" s="14">
        <v>433.95</v>
      </c>
      <c r="V51" s="14">
        <v>139.87</v>
      </c>
      <c r="W51" s="15">
        <v>160.88999999999999</v>
      </c>
      <c r="X51" s="22">
        <f t="shared" si="8"/>
        <v>226.52125000000001</v>
      </c>
      <c r="Y51" s="9">
        <f t="shared" si="9"/>
        <v>1812.17</v>
      </c>
    </row>
    <row r="52" spans="1:25" ht="15.75">
      <c r="A52" s="7">
        <f t="shared" si="4"/>
        <v>49</v>
      </c>
      <c r="B52" s="13" t="s">
        <v>7</v>
      </c>
      <c r="C52" s="14">
        <v>466.21</v>
      </c>
      <c r="D52" s="14">
        <v>363.46</v>
      </c>
      <c r="E52" s="14">
        <v>539.98</v>
      </c>
      <c r="F52" s="14">
        <v>356.8</v>
      </c>
      <c r="G52" s="14">
        <v>341</v>
      </c>
      <c r="H52" s="14">
        <v>299.73</v>
      </c>
      <c r="I52" s="14">
        <v>364.5</v>
      </c>
      <c r="J52" s="15">
        <v>457.55</v>
      </c>
      <c r="K52" s="22">
        <f t="shared" si="6"/>
        <v>398.65375</v>
      </c>
      <c r="L52" s="9">
        <f t="shared" si="7"/>
        <v>3189.23</v>
      </c>
      <c r="M52" s="6"/>
      <c r="N52" s="7">
        <f t="shared" si="5"/>
        <v>48</v>
      </c>
      <c r="O52" s="13" t="s">
        <v>22</v>
      </c>
      <c r="P52" s="14">
        <v>198.32</v>
      </c>
      <c r="Q52" s="14">
        <v>236</v>
      </c>
      <c r="R52" s="14">
        <v>153.5</v>
      </c>
      <c r="S52" s="14">
        <v>292.27</v>
      </c>
      <c r="T52" s="14">
        <v>269.68</v>
      </c>
      <c r="U52" s="14">
        <v>191.16</v>
      </c>
      <c r="V52" s="14">
        <v>273.02</v>
      </c>
      <c r="W52" s="15">
        <v>189.23</v>
      </c>
      <c r="X52" s="22">
        <f t="shared" si="8"/>
        <v>225.39750000000001</v>
      </c>
      <c r="Y52" s="9">
        <f t="shared" si="9"/>
        <v>1803.18</v>
      </c>
    </row>
    <row r="53" spans="1:25" ht="15.75">
      <c r="A53" s="7">
        <f t="shared" si="4"/>
        <v>50</v>
      </c>
      <c r="B53" s="13" t="s">
        <v>28</v>
      </c>
      <c r="C53" s="14">
        <v>0</v>
      </c>
      <c r="D53" s="14">
        <v>0</v>
      </c>
      <c r="E53" s="14">
        <v>0</v>
      </c>
      <c r="F53" s="14">
        <v>137.74</v>
      </c>
      <c r="G53" s="14">
        <v>684.46</v>
      </c>
      <c r="H53" s="14">
        <v>678.58</v>
      </c>
      <c r="I53" s="14">
        <v>745.74</v>
      </c>
      <c r="J53" s="15">
        <v>898.36</v>
      </c>
      <c r="K53" s="22">
        <f t="shared" si="6"/>
        <v>393.11000000000007</v>
      </c>
      <c r="L53" s="9">
        <f t="shared" si="7"/>
        <v>3144.8800000000006</v>
      </c>
      <c r="M53" s="6"/>
      <c r="N53" s="7">
        <f t="shared" si="5"/>
        <v>49</v>
      </c>
      <c r="O53" s="13" t="s">
        <v>53</v>
      </c>
      <c r="P53" s="14">
        <v>124.46</v>
      </c>
      <c r="Q53" s="14">
        <v>471.26</v>
      </c>
      <c r="R53" s="14">
        <v>306.18</v>
      </c>
      <c r="S53" s="14">
        <v>0</v>
      </c>
      <c r="T53" s="14">
        <v>141.19999999999999</v>
      </c>
      <c r="U53" s="14">
        <v>236.54</v>
      </c>
      <c r="V53" s="14">
        <v>307</v>
      </c>
      <c r="W53" s="15">
        <v>106.26</v>
      </c>
      <c r="X53" s="22">
        <f t="shared" si="8"/>
        <v>211.61250000000001</v>
      </c>
      <c r="Y53" s="9">
        <f t="shared" si="9"/>
        <v>1692.9</v>
      </c>
    </row>
    <row r="54" spans="1:25" ht="15.75">
      <c r="A54" s="7">
        <f t="shared" si="4"/>
        <v>51</v>
      </c>
      <c r="B54" s="13" t="s">
        <v>50</v>
      </c>
      <c r="C54" s="14">
        <v>345.46</v>
      </c>
      <c r="D54" s="14">
        <v>445.2</v>
      </c>
      <c r="E54" s="14">
        <v>302.47000000000003</v>
      </c>
      <c r="F54" s="14">
        <v>555.83000000000004</v>
      </c>
      <c r="G54" s="14">
        <v>299.3</v>
      </c>
      <c r="H54" s="14">
        <v>484.51</v>
      </c>
      <c r="I54" s="14">
        <v>457.24</v>
      </c>
      <c r="J54" s="15">
        <v>249.56</v>
      </c>
      <c r="K54" s="22">
        <f t="shared" si="6"/>
        <v>392.44625000000002</v>
      </c>
      <c r="L54" s="9">
        <f t="shared" si="7"/>
        <v>3139.57</v>
      </c>
      <c r="M54" s="6"/>
      <c r="N54" s="7">
        <f t="shared" si="5"/>
        <v>50</v>
      </c>
      <c r="O54" s="13" t="s">
        <v>52</v>
      </c>
      <c r="P54" s="14">
        <v>55.99</v>
      </c>
      <c r="Q54" s="14">
        <v>487.08</v>
      </c>
      <c r="R54" s="14">
        <v>133.57</v>
      </c>
      <c r="S54" s="14">
        <v>340.22</v>
      </c>
      <c r="T54" s="14">
        <v>256.08</v>
      </c>
      <c r="U54" s="14">
        <v>92.62</v>
      </c>
      <c r="V54" s="14">
        <v>107.16</v>
      </c>
      <c r="W54" s="15">
        <v>217.71</v>
      </c>
      <c r="X54" s="22">
        <f t="shared" si="8"/>
        <v>211.30375000000001</v>
      </c>
      <c r="Y54" s="9">
        <f t="shared" si="9"/>
        <v>1690.43</v>
      </c>
    </row>
    <row r="55" spans="1:25" ht="15.75">
      <c r="A55" s="7">
        <f t="shared" si="4"/>
        <v>52</v>
      </c>
      <c r="B55" s="13" t="s">
        <v>23</v>
      </c>
      <c r="C55" s="14">
        <v>410.89</v>
      </c>
      <c r="D55" s="14">
        <v>338.43</v>
      </c>
      <c r="E55" s="14">
        <v>418.42</v>
      </c>
      <c r="F55" s="14">
        <v>776.77</v>
      </c>
      <c r="G55" s="14">
        <v>456.64</v>
      </c>
      <c r="H55" s="14">
        <v>200.1</v>
      </c>
      <c r="I55" s="14">
        <v>215.7</v>
      </c>
      <c r="J55" s="15">
        <v>311.38</v>
      </c>
      <c r="K55" s="22">
        <f t="shared" si="6"/>
        <v>391.04124999999999</v>
      </c>
      <c r="L55" s="9">
        <f t="shared" si="7"/>
        <v>3128.33</v>
      </c>
      <c r="M55" s="6"/>
      <c r="N55" s="7">
        <f t="shared" si="5"/>
        <v>51</v>
      </c>
      <c r="O55" s="13" t="s">
        <v>75</v>
      </c>
      <c r="P55" s="14">
        <v>70.11</v>
      </c>
      <c r="Q55" s="14">
        <v>361.77</v>
      </c>
      <c r="R55" s="14">
        <v>102.53</v>
      </c>
      <c r="S55" s="14">
        <v>408.11</v>
      </c>
      <c r="T55" s="14">
        <v>199.26</v>
      </c>
      <c r="U55" s="14">
        <v>142.43</v>
      </c>
      <c r="V55" s="14">
        <v>93.72</v>
      </c>
      <c r="W55" s="15">
        <v>279.7</v>
      </c>
      <c r="X55" s="22">
        <f t="shared" si="8"/>
        <v>207.20375000000001</v>
      </c>
      <c r="Y55" s="9">
        <f t="shared" si="9"/>
        <v>1657.63</v>
      </c>
    </row>
    <row r="56" spans="1:25" ht="15.75">
      <c r="A56" s="7">
        <f t="shared" si="4"/>
        <v>53</v>
      </c>
      <c r="B56" s="13" t="s">
        <v>11</v>
      </c>
      <c r="C56" s="14">
        <v>330.93</v>
      </c>
      <c r="D56" s="14">
        <v>77.3</v>
      </c>
      <c r="E56" s="14">
        <v>345.27</v>
      </c>
      <c r="F56" s="14">
        <v>141.19</v>
      </c>
      <c r="G56" s="14">
        <v>366.73</v>
      </c>
      <c r="H56" s="14">
        <v>654.6</v>
      </c>
      <c r="I56" s="14">
        <v>747.05</v>
      </c>
      <c r="J56" s="15">
        <v>441.61</v>
      </c>
      <c r="K56" s="22">
        <f t="shared" si="6"/>
        <v>388.08499999999998</v>
      </c>
      <c r="L56" s="9">
        <f t="shared" si="7"/>
        <v>3104.68</v>
      </c>
      <c r="M56" s="6"/>
      <c r="N56" s="7">
        <f t="shared" si="5"/>
        <v>52</v>
      </c>
      <c r="O56" s="13" t="s">
        <v>29</v>
      </c>
      <c r="P56" s="14">
        <v>112.25</v>
      </c>
      <c r="Q56" s="14">
        <v>227.79</v>
      </c>
      <c r="R56" s="14">
        <v>217.71</v>
      </c>
      <c r="S56" s="14">
        <v>187.07</v>
      </c>
      <c r="T56" s="14">
        <v>228.58</v>
      </c>
      <c r="U56" s="14">
        <v>266.42</v>
      </c>
      <c r="V56" s="14">
        <v>246.53</v>
      </c>
      <c r="W56" s="15">
        <v>106.3</v>
      </c>
      <c r="X56" s="22">
        <f t="shared" si="8"/>
        <v>199.08124999999998</v>
      </c>
      <c r="Y56" s="9">
        <f t="shared" si="9"/>
        <v>1592.6499999999999</v>
      </c>
    </row>
    <row r="57" spans="1:25" ht="15.75">
      <c r="A57" s="7">
        <f t="shared" si="4"/>
        <v>54</v>
      </c>
      <c r="B57" s="13" t="s">
        <v>65</v>
      </c>
      <c r="C57" s="14">
        <v>221.69</v>
      </c>
      <c r="D57" s="14">
        <v>385.08</v>
      </c>
      <c r="E57" s="14">
        <v>345.49</v>
      </c>
      <c r="F57" s="14">
        <v>491.13</v>
      </c>
      <c r="G57" s="14">
        <v>322.29000000000002</v>
      </c>
      <c r="H57" s="14">
        <v>728.77</v>
      </c>
      <c r="I57" s="14">
        <v>345.64</v>
      </c>
      <c r="J57" s="15">
        <v>260.5</v>
      </c>
      <c r="K57" s="22">
        <f t="shared" si="6"/>
        <v>387.57374999999996</v>
      </c>
      <c r="L57" s="9">
        <f t="shared" si="7"/>
        <v>3100.5899999999997</v>
      </c>
      <c r="M57" s="6"/>
      <c r="N57" s="7">
        <f t="shared" si="5"/>
        <v>53</v>
      </c>
      <c r="O57" s="13" t="s">
        <v>50</v>
      </c>
      <c r="P57" s="14">
        <v>113.07</v>
      </c>
      <c r="Q57" s="14">
        <v>212.4</v>
      </c>
      <c r="R57" s="14">
        <v>175.6</v>
      </c>
      <c r="S57" s="14">
        <v>223.67</v>
      </c>
      <c r="T57" s="14">
        <v>117.34</v>
      </c>
      <c r="U57" s="14">
        <v>205.17</v>
      </c>
      <c r="V57" s="14">
        <v>266.7</v>
      </c>
      <c r="W57" s="15">
        <v>264.42</v>
      </c>
      <c r="X57" s="22">
        <f t="shared" si="8"/>
        <v>197.29625000000001</v>
      </c>
      <c r="Y57" s="9">
        <f t="shared" si="9"/>
        <v>1578.3700000000001</v>
      </c>
    </row>
    <row r="58" spans="1:25" ht="15.75">
      <c r="A58" s="7">
        <f t="shared" si="4"/>
        <v>55</v>
      </c>
      <c r="B58" s="13" t="s">
        <v>53</v>
      </c>
      <c r="C58" s="14">
        <v>192.36</v>
      </c>
      <c r="D58" s="14">
        <v>440.86</v>
      </c>
      <c r="E58" s="14">
        <v>223.12</v>
      </c>
      <c r="F58" s="14">
        <v>309.77</v>
      </c>
      <c r="G58" s="14">
        <v>353.69</v>
      </c>
      <c r="H58" s="14">
        <v>386.7</v>
      </c>
      <c r="I58" s="14">
        <v>493.7</v>
      </c>
      <c r="J58" s="15">
        <v>675.46</v>
      </c>
      <c r="K58" s="22">
        <f t="shared" si="6"/>
        <v>384.45750000000004</v>
      </c>
      <c r="L58" s="9">
        <f t="shared" si="7"/>
        <v>3075.6600000000003</v>
      </c>
      <c r="M58" s="6"/>
      <c r="N58" s="7">
        <f t="shared" si="5"/>
        <v>54</v>
      </c>
      <c r="O58" s="13" t="s">
        <v>64</v>
      </c>
      <c r="P58" s="14">
        <v>39.49</v>
      </c>
      <c r="Q58" s="14">
        <v>292.7</v>
      </c>
      <c r="R58" s="14">
        <v>80.62</v>
      </c>
      <c r="S58" s="14">
        <v>258.37</v>
      </c>
      <c r="T58" s="14">
        <v>349.61</v>
      </c>
      <c r="U58" s="14">
        <v>325.17</v>
      </c>
      <c r="V58" s="14">
        <v>121.22</v>
      </c>
      <c r="W58" s="15">
        <v>101.34</v>
      </c>
      <c r="X58" s="22">
        <f t="shared" si="8"/>
        <v>196.065</v>
      </c>
      <c r="Y58" s="9">
        <f t="shared" si="9"/>
        <v>1568.52</v>
      </c>
    </row>
    <row r="59" spans="1:25" ht="15.75">
      <c r="A59" s="7">
        <f t="shared" si="4"/>
        <v>56</v>
      </c>
      <c r="B59" s="13" t="s">
        <v>66</v>
      </c>
      <c r="C59" s="14">
        <v>664.5</v>
      </c>
      <c r="D59" s="14">
        <v>275.70999999999998</v>
      </c>
      <c r="E59" s="14">
        <v>0</v>
      </c>
      <c r="F59" s="14">
        <v>81.34</v>
      </c>
      <c r="G59" s="14">
        <v>352.96</v>
      </c>
      <c r="H59" s="14">
        <v>502.65</v>
      </c>
      <c r="I59" s="14">
        <v>687</v>
      </c>
      <c r="J59" s="15">
        <v>476.01</v>
      </c>
      <c r="K59" s="22">
        <f t="shared" si="6"/>
        <v>380.02125000000001</v>
      </c>
      <c r="L59" s="9">
        <f t="shared" si="7"/>
        <v>3040.17</v>
      </c>
      <c r="N59" s="7">
        <f t="shared" si="5"/>
        <v>55</v>
      </c>
      <c r="O59" s="13" t="s">
        <v>73</v>
      </c>
      <c r="P59" s="14">
        <v>161.61000000000001</v>
      </c>
      <c r="Q59" s="14">
        <v>302.58</v>
      </c>
      <c r="R59" s="14">
        <v>224.36</v>
      </c>
      <c r="S59" s="14">
        <v>199.41</v>
      </c>
      <c r="T59" s="14">
        <v>226.21</v>
      </c>
      <c r="U59" s="14">
        <v>80.45</v>
      </c>
      <c r="V59" s="14">
        <v>208.86</v>
      </c>
      <c r="W59" s="15">
        <v>159.72999999999999</v>
      </c>
      <c r="X59" s="22">
        <f t="shared" si="8"/>
        <v>195.40125</v>
      </c>
      <c r="Y59" s="9">
        <f t="shared" si="9"/>
        <v>1563.21</v>
      </c>
    </row>
    <row r="60" spans="1:25" ht="15.75">
      <c r="A60" s="7">
        <f t="shared" si="4"/>
        <v>57</v>
      </c>
      <c r="B60" s="13" t="s">
        <v>75</v>
      </c>
      <c r="C60" s="14">
        <v>418.82</v>
      </c>
      <c r="D60" s="14">
        <v>363.29</v>
      </c>
      <c r="E60" s="14">
        <v>295.98</v>
      </c>
      <c r="F60" s="14">
        <v>259.29000000000002</v>
      </c>
      <c r="G60" s="14">
        <v>355.97</v>
      </c>
      <c r="H60" s="14">
        <v>357.42</v>
      </c>
      <c r="I60" s="14">
        <v>308.86</v>
      </c>
      <c r="J60" s="15">
        <v>565.35</v>
      </c>
      <c r="K60" s="22">
        <f t="shared" si="6"/>
        <v>365.6225</v>
      </c>
      <c r="L60" s="9">
        <f t="shared" si="7"/>
        <v>2924.98</v>
      </c>
      <c r="N60" s="7">
        <f t="shared" si="5"/>
        <v>56</v>
      </c>
      <c r="O60" s="13" t="s">
        <v>25</v>
      </c>
      <c r="P60" s="14">
        <v>227.31</v>
      </c>
      <c r="Q60" s="14">
        <v>85.54</v>
      </c>
      <c r="R60" s="14">
        <v>345.09</v>
      </c>
      <c r="S60" s="14">
        <v>252.25</v>
      </c>
      <c r="T60" s="14">
        <v>194.83</v>
      </c>
      <c r="U60" s="14">
        <v>159.69</v>
      </c>
      <c r="V60" s="14">
        <v>147.97</v>
      </c>
      <c r="W60" s="15">
        <v>141.69999999999999</v>
      </c>
      <c r="X60" s="22">
        <f t="shared" si="8"/>
        <v>194.29750000000001</v>
      </c>
      <c r="Y60" s="9">
        <f t="shared" si="9"/>
        <v>1554.38</v>
      </c>
    </row>
    <row r="61" spans="1:25" ht="15.75">
      <c r="A61" s="7">
        <f t="shared" si="4"/>
        <v>58</v>
      </c>
      <c r="B61" s="13" t="s">
        <v>25</v>
      </c>
      <c r="C61" s="14">
        <v>376.4</v>
      </c>
      <c r="D61" s="14">
        <v>396.82</v>
      </c>
      <c r="E61" s="14">
        <v>267.85000000000002</v>
      </c>
      <c r="F61" s="14">
        <v>323.19</v>
      </c>
      <c r="G61" s="14">
        <v>354.47</v>
      </c>
      <c r="H61" s="14">
        <v>256.3</v>
      </c>
      <c r="I61" s="14">
        <v>556.69000000000005</v>
      </c>
      <c r="J61" s="15">
        <v>385.95</v>
      </c>
      <c r="K61" s="22">
        <f t="shared" si="6"/>
        <v>364.70875000000001</v>
      </c>
      <c r="L61" s="9">
        <f t="shared" si="7"/>
        <v>2917.67</v>
      </c>
      <c r="N61" s="7">
        <f t="shared" si="5"/>
        <v>57</v>
      </c>
      <c r="O61" s="13" t="s">
        <v>82</v>
      </c>
      <c r="P61" s="14">
        <v>31.07</v>
      </c>
      <c r="Q61" s="14">
        <v>120.29</v>
      </c>
      <c r="R61" s="14">
        <v>128.41999999999999</v>
      </c>
      <c r="S61" s="14">
        <v>95.94</v>
      </c>
      <c r="T61" s="14">
        <v>224.76</v>
      </c>
      <c r="U61" s="14">
        <v>682.36</v>
      </c>
      <c r="V61" s="14">
        <v>141.30000000000001</v>
      </c>
      <c r="W61" s="15">
        <v>115.87</v>
      </c>
      <c r="X61" s="22">
        <f t="shared" si="8"/>
        <v>192.50125000000003</v>
      </c>
      <c r="Y61" s="9">
        <f t="shared" si="9"/>
        <v>1540.0100000000002</v>
      </c>
    </row>
    <row r="62" spans="1:25" ht="15.75">
      <c r="A62" s="7">
        <f t="shared" si="4"/>
        <v>59</v>
      </c>
      <c r="B62" s="13" t="s">
        <v>41</v>
      </c>
      <c r="C62" s="14">
        <v>234.35</v>
      </c>
      <c r="D62" s="14">
        <v>429.14</v>
      </c>
      <c r="E62" s="14">
        <v>187.14</v>
      </c>
      <c r="F62" s="14">
        <v>404.62</v>
      </c>
      <c r="G62" s="14">
        <v>801.2</v>
      </c>
      <c r="H62" s="14">
        <v>412.57</v>
      </c>
      <c r="I62" s="14">
        <v>134.97</v>
      </c>
      <c r="J62" s="15">
        <v>233.37</v>
      </c>
      <c r="K62" s="22">
        <f t="shared" si="6"/>
        <v>354.66999999999996</v>
      </c>
      <c r="L62" s="9">
        <f t="shared" si="7"/>
        <v>2837.3599999999997</v>
      </c>
      <c r="N62" s="7">
        <f t="shared" si="5"/>
        <v>58</v>
      </c>
      <c r="O62" s="13" t="s">
        <v>108</v>
      </c>
      <c r="P62" s="14">
        <v>580</v>
      </c>
      <c r="Q62" s="14">
        <v>140</v>
      </c>
      <c r="R62" s="14">
        <v>110</v>
      </c>
      <c r="S62" s="14">
        <v>120</v>
      </c>
      <c r="T62" s="14">
        <v>80</v>
      </c>
      <c r="U62" s="19"/>
      <c r="V62" s="19"/>
      <c r="W62" s="15">
        <v>500</v>
      </c>
      <c r="X62" s="22">
        <f t="shared" si="8"/>
        <v>255</v>
      </c>
      <c r="Y62" s="9">
        <f t="shared" si="9"/>
        <v>1530</v>
      </c>
    </row>
    <row r="63" spans="1:25" ht="15.75">
      <c r="A63" s="7">
        <f t="shared" si="4"/>
        <v>60</v>
      </c>
      <c r="B63" s="13" t="s">
        <v>64</v>
      </c>
      <c r="C63" s="14">
        <v>348.6</v>
      </c>
      <c r="D63" s="14">
        <v>297.51</v>
      </c>
      <c r="E63" s="14">
        <v>342.56</v>
      </c>
      <c r="F63" s="14">
        <v>209.93</v>
      </c>
      <c r="G63" s="14">
        <v>258.95</v>
      </c>
      <c r="H63" s="14">
        <v>520.32000000000005</v>
      </c>
      <c r="I63" s="14">
        <v>566.91999999999996</v>
      </c>
      <c r="J63" s="15">
        <v>286.35000000000002</v>
      </c>
      <c r="K63" s="22">
        <f t="shared" si="6"/>
        <v>353.89250000000004</v>
      </c>
      <c r="L63" s="9">
        <f t="shared" si="7"/>
        <v>2831.1400000000003</v>
      </c>
      <c r="N63" s="7">
        <f t="shared" si="5"/>
        <v>59</v>
      </c>
      <c r="O63" s="13" t="s">
        <v>0</v>
      </c>
      <c r="P63" s="14">
        <v>0</v>
      </c>
      <c r="Q63" s="14">
        <v>0</v>
      </c>
      <c r="R63" s="14">
        <v>219.18</v>
      </c>
      <c r="S63" s="14">
        <v>190.08</v>
      </c>
      <c r="T63" s="14">
        <v>432.98</v>
      </c>
      <c r="U63" s="14">
        <v>279.93</v>
      </c>
      <c r="V63" s="14">
        <v>146.87</v>
      </c>
      <c r="W63" s="15">
        <v>194.31</v>
      </c>
      <c r="X63" s="22">
        <f t="shared" si="8"/>
        <v>182.91874999999999</v>
      </c>
      <c r="Y63" s="9">
        <f t="shared" si="9"/>
        <v>1463.35</v>
      </c>
    </row>
    <row r="64" spans="1:25" ht="15.75">
      <c r="A64" s="7">
        <f t="shared" si="4"/>
        <v>61</v>
      </c>
      <c r="B64" s="13" t="s">
        <v>38</v>
      </c>
      <c r="C64" s="14">
        <v>246.04</v>
      </c>
      <c r="D64" s="14">
        <v>199.52</v>
      </c>
      <c r="E64" s="14">
        <v>428.89</v>
      </c>
      <c r="F64" s="14">
        <v>255.35</v>
      </c>
      <c r="G64" s="14">
        <v>459.35</v>
      </c>
      <c r="H64" s="14">
        <v>492.15</v>
      </c>
      <c r="I64" s="14">
        <v>326.82</v>
      </c>
      <c r="J64" s="15">
        <v>211.71</v>
      </c>
      <c r="K64" s="22">
        <f t="shared" si="6"/>
        <v>327.47875000000005</v>
      </c>
      <c r="L64" s="9">
        <f t="shared" si="7"/>
        <v>2619.8300000000004</v>
      </c>
      <c r="N64" s="7">
        <f t="shared" si="5"/>
        <v>60</v>
      </c>
      <c r="O64" s="13" t="s">
        <v>38</v>
      </c>
      <c r="P64" s="14">
        <v>95.94</v>
      </c>
      <c r="Q64" s="14">
        <v>197.3</v>
      </c>
      <c r="R64" s="14">
        <v>73.27</v>
      </c>
      <c r="S64" s="14">
        <v>207.78</v>
      </c>
      <c r="T64" s="14">
        <v>142.44</v>
      </c>
      <c r="U64" s="14">
        <v>276.36</v>
      </c>
      <c r="V64" s="14">
        <v>337.38</v>
      </c>
      <c r="W64" s="15">
        <v>99.98</v>
      </c>
      <c r="X64" s="22">
        <f t="shared" si="8"/>
        <v>178.80625000000001</v>
      </c>
      <c r="Y64" s="9">
        <f t="shared" si="9"/>
        <v>1430.45</v>
      </c>
    </row>
    <row r="65" spans="1:25" ht="15.75">
      <c r="A65" s="7">
        <f t="shared" si="4"/>
        <v>62</v>
      </c>
      <c r="B65" s="13" t="s">
        <v>10</v>
      </c>
      <c r="C65" s="14">
        <v>269.62</v>
      </c>
      <c r="D65" s="14">
        <v>192.45</v>
      </c>
      <c r="E65" s="14">
        <v>353.69</v>
      </c>
      <c r="F65" s="14">
        <v>279.41000000000003</v>
      </c>
      <c r="G65" s="14">
        <v>383.91</v>
      </c>
      <c r="H65" s="14">
        <v>403.39</v>
      </c>
      <c r="I65" s="14">
        <v>360.48</v>
      </c>
      <c r="J65" s="15">
        <v>297.45</v>
      </c>
      <c r="K65" s="22">
        <f t="shared" si="6"/>
        <v>317.55</v>
      </c>
      <c r="L65" s="9">
        <f t="shared" si="7"/>
        <v>2540.4</v>
      </c>
      <c r="N65" s="7">
        <f t="shared" si="5"/>
        <v>61</v>
      </c>
      <c r="O65" s="13" t="s">
        <v>107</v>
      </c>
      <c r="P65" s="14">
        <v>60</v>
      </c>
      <c r="Q65" s="14">
        <v>140</v>
      </c>
      <c r="R65" s="14">
        <v>220</v>
      </c>
      <c r="S65" s="14">
        <v>150</v>
      </c>
      <c r="T65" s="14">
        <v>270</v>
      </c>
      <c r="U65" s="14">
        <v>330</v>
      </c>
      <c r="V65" s="14">
        <v>70</v>
      </c>
      <c r="W65" s="15">
        <v>190</v>
      </c>
      <c r="X65" s="22">
        <f t="shared" si="8"/>
        <v>178.75</v>
      </c>
      <c r="Y65" s="9">
        <f t="shared" si="9"/>
        <v>1430</v>
      </c>
    </row>
    <row r="66" spans="1:25" ht="15.75">
      <c r="A66" s="7">
        <f t="shared" si="4"/>
        <v>63</v>
      </c>
      <c r="B66" s="13" t="s">
        <v>52</v>
      </c>
      <c r="C66" s="14">
        <v>296.99</v>
      </c>
      <c r="D66" s="14">
        <v>361.95</v>
      </c>
      <c r="E66" s="14">
        <v>219.97</v>
      </c>
      <c r="F66" s="14">
        <v>294.44</v>
      </c>
      <c r="G66" s="14">
        <v>261.68</v>
      </c>
      <c r="H66" s="14">
        <v>335.76</v>
      </c>
      <c r="I66" s="14">
        <v>287.95999999999998</v>
      </c>
      <c r="J66" s="15">
        <v>319.01</v>
      </c>
      <c r="K66" s="22">
        <f t="shared" si="6"/>
        <v>297.22000000000003</v>
      </c>
      <c r="L66" s="9">
        <f t="shared" si="7"/>
        <v>2377.7600000000002</v>
      </c>
      <c r="N66" s="7">
        <f t="shared" si="5"/>
        <v>62</v>
      </c>
      <c r="O66" s="13" t="s">
        <v>7</v>
      </c>
      <c r="P66" s="14">
        <v>122.21</v>
      </c>
      <c r="Q66" s="14">
        <v>265.07</v>
      </c>
      <c r="R66" s="14">
        <v>174.91</v>
      </c>
      <c r="S66" s="14">
        <v>192.29</v>
      </c>
      <c r="T66" s="14">
        <v>153.4</v>
      </c>
      <c r="U66" s="14">
        <v>226.67</v>
      </c>
      <c r="V66" s="14">
        <v>189.66</v>
      </c>
      <c r="W66" s="15">
        <v>85.85</v>
      </c>
      <c r="X66" s="22">
        <f t="shared" si="8"/>
        <v>176.25749999999999</v>
      </c>
      <c r="Y66" s="9">
        <f t="shared" si="9"/>
        <v>1410.06</v>
      </c>
    </row>
    <row r="67" spans="1:25" ht="15.75">
      <c r="A67" s="7">
        <f t="shared" si="4"/>
        <v>64</v>
      </c>
      <c r="B67" s="13" t="s">
        <v>26</v>
      </c>
      <c r="C67" s="14">
        <v>582.91</v>
      </c>
      <c r="D67" s="14">
        <v>510.91</v>
      </c>
      <c r="E67" s="14">
        <v>246.47</v>
      </c>
      <c r="F67" s="14">
        <v>73.08</v>
      </c>
      <c r="G67" s="14">
        <v>154.58000000000001</v>
      </c>
      <c r="H67" s="14">
        <v>106.58</v>
      </c>
      <c r="I67" s="14">
        <v>262.47000000000003</v>
      </c>
      <c r="J67" s="15">
        <v>391.48</v>
      </c>
      <c r="K67" s="22">
        <f t="shared" si="6"/>
        <v>291.05999999999995</v>
      </c>
      <c r="L67" s="9">
        <f t="shared" si="7"/>
        <v>2328.4799999999996</v>
      </c>
      <c r="N67" s="7">
        <f t="shared" si="5"/>
        <v>63</v>
      </c>
      <c r="O67" s="24" t="s">
        <v>105</v>
      </c>
      <c r="P67" s="14">
        <v>42.43</v>
      </c>
      <c r="Q67" s="14">
        <v>79.14</v>
      </c>
      <c r="R67" s="14">
        <v>0</v>
      </c>
      <c r="S67" s="14">
        <v>641.52</v>
      </c>
      <c r="T67" s="14">
        <v>163.68</v>
      </c>
      <c r="U67" s="14">
        <v>46.63</v>
      </c>
      <c r="V67" s="14">
        <v>269.19</v>
      </c>
      <c r="W67" s="15">
        <v>151.24</v>
      </c>
      <c r="X67" s="22">
        <f t="shared" si="8"/>
        <v>174.22874999999999</v>
      </c>
      <c r="Y67" s="9">
        <f t="shared" si="9"/>
        <v>1393.83</v>
      </c>
    </row>
    <row r="68" spans="1:25" ht="15.75">
      <c r="A68" s="7">
        <f t="shared" si="4"/>
        <v>65</v>
      </c>
      <c r="B68" s="13" t="s">
        <v>36</v>
      </c>
      <c r="C68" s="14">
        <v>275.42</v>
      </c>
      <c r="D68" s="14">
        <v>254.79</v>
      </c>
      <c r="E68" s="14">
        <v>303.05</v>
      </c>
      <c r="F68" s="14">
        <v>315.88</v>
      </c>
      <c r="G68" s="14">
        <v>264.35000000000002</v>
      </c>
      <c r="H68" s="14">
        <v>326.06</v>
      </c>
      <c r="I68" s="14">
        <v>313.52999999999997</v>
      </c>
      <c r="J68" s="15">
        <v>267.05</v>
      </c>
      <c r="K68" s="22">
        <f t="shared" ref="K68:K99" si="10">AVERAGE(C68:J68)</f>
        <v>290.01625000000001</v>
      </c>
      <c r="L68" s="9">
        <f t="shared" ref="L68:L102" si="11">SUM(C68:J68)</f>
        <v>2320.13</v>
      </c>
      <c r="N68" s="7">
        <f t="shared" si="5"/>
        <v>64</v>
      </c>
      <c r="O68" s="13" t="s">
        <v>90</v>
      </c>
      <c r="P68" s="14">
        <v>215.36</v>
      </c>
      <c r="Q68" s="14">
        <v>183.58</v>
      </c>
      <c r="R68" s="14">
        <v>108.31</v>
      </c>
      <c r="S68" s="14">
        <v>132.54</v>
      </c>
      <c r="T68" s="14">
        <v>92.15</v>
      </c>
      <c r="U68" s="14">
        <v>192.35</v>
      </c>
      <c r="V68" s="14">
        <v>213.61</v>
      </c>
      <c r="W68" s="15">
        <v>149.91999999999999</v>
      </c>
      <c r="X68" s="22">
        <f t="shared" ref="X68:X99" si="12">AVERAGE(P68:W68)</f>
        <v>160.97750000000002</v>
      </c>
      <c r="Y68" s="9">
        <f t="shared" ref="Y68:Y102" si="13">SUM(P68:W68)</f>
        <v>1287.8200000000002</v>
      </c>
    </row>
    <row r="69" spans="1:25" ht="15.75">
      <c r="A69" s="7">
        <f t="shared" si="4"/>
        <v>66</v>
      </c>
      <c r="B69" s="13" t="s">
        <v>63</v>
      </c>
      <c r="C69" s="14">
        <v>161.53</v>
      </c>
      <c r="D69" s="14">
        <v>218.16</v>
      </c>
      <c r="E69" s="14">
        <v>403.09</v>
      </c>
      <c r="F69" s="14">
        <v>165.24</v>
      </c>
      <c r="G69" s="14">
        <v>221.27</v>
      </c>
      <c r="H69" s="14">
        <v>410.94</v>
      </c>
      <c r="I69" s="14">
        <v>405.24</v>
      </c>
      <c r="J69" s="15">
        <v>288.05</v>
      </c>
      <c r="K69" s="22">
        <f t="shared" si="10"/>
        <v>284.19</v>
      </c>
      <c r="L69" s="9">
        <f t="shared" si="11"/>
        <v>2273.52</v>
      </c>
      <c r="N69" s="7">
        <f t="shared" si="5"/>
        <v>65</v>
      </c>
      <c r="O69" s="13" t="s">
        <v>45</v>
      </c>
      <c r="P69" s="14">
        <v>134.52000000000001</v>
      </c>
      <c r="Q69" s="14">
        <v>160.15</v>
      </c>
      <c r="R69" s="14">
        <v>200.74</v>
      </c>
      <c r="S69" s="14">
        <v>171.96</v>
      </c>
      <c r="T69" s="14">
        <v>225.1</v>
      </c>
      <c r="U69" s="14">
        <v>71.59</v>
      </c>
      <c r="V69" s="14">
        <v>239.12</v>
      </c>
      <c r="W69" s="15">
        <v>73.06</v>
      </c>
      <c r="X69" s="22">
        <f t="shared" si="12"/>
        <v>159.53</v>
      </c>
      <c r="Y69" s="9">
        <f t="shared" si="13"/>
        <v>1276.24</v>
      </c>
    </row>
    <row r="70" spans="1:25" ht="15.75">
      <c r="A70" s="7">
        <f t="shared" si="4"/>
        <v>67</v>
      </c>
      <c r="B70" s="13" t="s">
        <v>16</v>
      </c>
      <c r="C70" s="14">
        <v>355.23</v>
      </c>
      <c r="D70" s="14">
        <v>365.65</v>
      </c>
      <c r="E70" s="14">
        <v>225.71</v>
      </c>
      <c r="F70" s="14">
        <v>191.48</v>
      </c>
      <c r="G70" s="14">
        <v>226.1</v>
      </c>
      <c r="H70" s="14">
        <v>301.19</v>
      </c>
      <c r="I70" s="14">
        <v>327.66000000000003</v>
      </c>
      <c r="J70" s="15">
        <v>209.54</v>
      </c>
      <c r="K70" s="22">
        <f t="shared" si="10"/>
        <v>275.32</v>
      </c>
      <c r="L70" s="9">
        <f t="shared" si="11"/>
        <v>2202.56</v>
      </c>
      <c r="N70" s="7">
        <f t="shared" si="5"/>
        <v>66</v>
      </c>
      <c r="O70" s="13" t="s">
        <v>72</v>
      </c>
      <c r="P70" s="14">
        <v>119.15</v>
      </c>
      <c r="Q70" s="14">
        <v>369.58</v>
      </c>
      <c r="R70" s="14">
        <v>155.75</v>
      </c>
      <c r="S70" s="14">
        <v>161.66</v>
      </c>
      <c r="T70" s="14">
        <v>128.41</v>
      </c>
      <c r="U70" s="14">
        <v>144.65</v>
      </c>
      <c r="V70" s="14">
        <v>123.58</v>
      </c>
      <c r="W70" s="15">
        <v>65.37</v>
      </c>
      <c r="X70" s="22">
        <f t="shared" si="12"/>
        <v>158.51875000000001</v>
      </c>
      <c r="Y70" s="9">
        <f t="shared" si="13"/>
        <v>1268.1500000000001</v>
      </c>
    </row>
    <row r="71" spans="1:25" ht="15.75">
      <c r="A71" s="7">
        <f t="shared" ref="A71:A102" si="14">1+A70</f>
        <v>68</v>
      </c>
      <c r="B71" s="13" t="s">
        <v>17</v>
      </c>
      <c r="C71" s="14">
        <v>193.05</v>
      </c>
      <c r="D71" s="14">
        <v>188.37</v>
      </c>
      <c r="E71" s="14">
        <v>285.70999999999998</v>
      </c>
      <c r="F71" s="14">
        <v>304.39999999999998</v>
      </c>
      <c r="G71" s="14">
        <v>308.67</v>
      </c>
      <c r="H71" s="14">
        <v>379.62</v>
      </c>
      <c r="I71" s="14">
        <v>260.88</v>
      </c>
      <c r="J71" s="15">
        <v>186.51</v>
      </c>
      <c r="K71" s="22">
        <f t="shared" si="10"/>
        <v>263.40125</v>
      </c>
      <c r="L71" s="9">
        <f t="shared" si="11"/>
        <v>2107.21</v>
      </c>
      <c r="N71" s="7">
        <f t="shared" ref="N71:N102" si="15">1+N70</f>
        <v>67</v>
      </c>
      <c r="O71" s="13" t="s">
        <v>70</v>
      </c>
      <c r="P71" s="14">
        <v>158.76</v>
      </c>
      <c r="Q71" s="14">
        <v>330.27</v>
      </c>
      <c r="R71" s="14">
        <v>195.51</v>
      </c>
      <c r="S71" s="14">
        <v>103.06</v>
      </c>
      <c r="T71" s="14">
        <v>114.7</v>
      </c>
      <c r="U71" s="14">
        <v>52.76</v>
      </c>
      <c r="V71" s="14">
        <v>137.16999999999999</v>
      </c>
      <c r="W71" s="15">
        <v>169.31</v>
      </c>
      <c r="X71" s="22">
        <f t="shared" si="12"/>
        <v>157.6925</v>
      </c>
      <c r="Y71" s="9">
        <f t="shared" si="13"/>
        <v>1261.54</v>
      </c>
    </row>
    <row r="72" spans="1:25" ht="15.75">
      <c r="A72" s="7">
        <f t="shared" si="14"/>
        <v>69</v>
      </c>
      <c r="B72" s="13" t="s">
        <v>3</v>
      </c>
      <c r="C72" s="14">
        <v>176.47</v>
      </c>
      <c r="D72" s="14">
        <v>247.19</v>
      </c>
      <c r="E72" s="14">
        <v>276.58999999999997</v>
      </c>
      <c r="F72" s="14">
        <v>349.01</v>
      </c>
      <c r="G72" s="14">
        <v>224.78</v>
      </c>
      <c r="H72" s="14">
        <v>309.61</v>
      </c>
      <c r="I72" s="14">
        <v>286.64</v>
      </c>
      <c r="J72" s="15">
        <v>218.9</v>
      </c>
      <c r="K72" s="22">
        <f t="shared" si="10"/>
        <v>261.14875000000001</v>
      </c>
      <c r="L72" s="9">
        <f t="shared" si="11"/>
        <v>2089.19</v>
      </c>
      <c r="N72" s="7">
        <f t="shared" si="15"/>
        <v>68</v>
      </c>
      <c r="O72" s="13" t="s">
        <v>6</v>
      </c>
      <c r="P72" s="14">
        <v>116.63</v>
      </c>
      <c r="Q72" s="14">
        <v>125.04900000000001</v>
      </c>
      <c r="R72" s="14">
        <v>211.46299999999999</v>
      </c>
      <c r="S72" s="14">
        <v>138.49</v>
      </c>
      <c r="T72" s="14">
        <v>141.24199999999999</v>
      </c>
      <c r="U72" s="14">
        <v>215.8</v>
      </c>
      <c r="V72" s="14">
        <v>113.79600000000001</v>
      </c>
      <c r="W72" s="15">
        <v>196.06200000000001</v>
      </c>
      <c r="X72" s="22">
        <f t="shared" si="12"/>
        <v>157.31650000000002</v>
      </c>
      <c r="Y72" s="9">
        <f t="shared" si="13"/>
        <v>1258.5320000000002</v>
      </c>
    </row>
    <row r="73" spans="1:25" ht="15.75">
      <c r="A73" s="7">
        <f t="shared" si="14"/>
        <v>70</v>
      </c>
      <c r="B73" s="13" t="s">
        <v>0</v>
      </c>
      <c r="C73" s="14">
        <v>0</v>
      </c>
      <c r="D73" s="14">
        <v>0</v>
      </c>
      <c r="E73" s="14">
        <v>146.43</v>
      </c>
      <c r="F73" s="14">
        <v>349.36</v>
      </c>
      <c r="G73" s="14">
        <v>390.08</v>
      </c>
      <c r="H73" s="14">
        <v>430.62</v>
      </c>
      <c r="I73" s="14">
        <v>428.6</v>
      </c>
      <c r="J73" s="15">
        <v>312.68</v>
      </c>
      <c r="K73" s="22">
        <f t="shared" si="10"/>
        <v>257.22125</v>
      </c>
      <c r="L73" s="9">
        <f t="shared" si="11"/>
        <v>2057.77</v>
      </c>
      <c r="N73" s="7">
        <f t="shared" si="15"/>
        <v>69</v>
      </c>
      <c r="O73" s="13" t="s">
        <v>51</v>
      </c>
      <c r="P73" s="14">
        <v>178.01</v>
      </c>
      <c r="Q73" s="14">
        <v>156.41999999999999</v>
      </c>
      <c r="R73" s="14">
        <v>77.489999999999995</v>
      </c>
      <c r="S73" s="14">
        <v>81.180000000000007</v>
      </c>
      <c r="T73" s="14">
        <v>457.13</v>
      </c>
      <c r="U73" s="14">
        <v>22.14</v>
      </c>
      <c r="V73" s="14">
        <v>196.94</v>
      </c>
      <c r="W73" s="15">
        <v>62.73</v>
      </c>
      <c r="X73" s="22">
        <f t="shared" si="12"/>
        <v>154.005</v>
      </c>
      <c r="Y73" s="9">
        <f t="shared" si="13"/>
        <v>1232.04</v>
      </c>
    </row>
    <row r="74" spans="1:25" ht="15.75">
      <c r="A74" s="7">
        <f t="shared" si="14"/>
        <v>71</v>
      </c>
      <c r="B74" s="13" t="s">
        <v>29</v>
      </c>
      <c r="C74" s="14">
        <v>176.58</v>
      </c>
      <c r="D74" s="14">
        <v>263.69</v>
      </c>
      <c r="E74" s="14">
        <v>267.76</v>
      </c>
      <c r="F74" s="14">
        <v>277.82</v>
      </c>
      <c r="G74" s="14">
        <v>184.4</v>
      </c>
      <c r="H74" s="14">
        <v>159.22999999999999</v>
      </c>
      <c r="I74" s="14">
        <v>277.75</v>
      </c>
      <c r="J74" s="15">
        <v>375.63</v>
      </c>
      <c r="K74" s="22">
        <f t="shared" si="10"/>
        <v>247.85750000000002</v>
      </c>
      <c r="L74" s="9">
        <f t="shared" si="11"/>
        <v>1982.8600000000001</v>
      </c>
      <c r="N74" s="7">
        <f t="shared" si="15"/>
        <v>70</v>
      </c>
      <c r="O74" s="13" t="s">
        <v>37</v>
      </c>
      <c r="P74" s="14">
        <v>0</v>
      </c>
      <c r="Q74" s="14">
        <v>128.62</v>
      </c>
      <c r="R74" s="14">
        <v>184.51</v>
      </c>
      <c r="S74" s="14">
        <v>169.74</v>
      </c>
      <c r="T74" s="14">
        <v>200.62</v>
      </c>
      <c r="U74" s="14">
        <v>370.91</v>
      </c>
      <c r="V74" s="14">
        <v>173.98</v>
      </c>
      <c r="W74" s="15">
        <v>0</v>
      </c>
      <c r="X74" s="22">
        <f t="shared" si="12"/>
        <v>153.54750000000001</v>
      </c>
      <c r="Y74" s="9">
        <f t="shared" si="13"/>
        <v>1228.3800000000001</v>
      </c>
    </row>
    <row r="75" spans="1:25" ht="15.75">
      <c r="A75" s="7">
        <f t="shared" si="14"/>
        <v>72</v>
      </c>
      <c r="B75" s="13" t="s">
        <v>79</v>
      </c>
      <c r="C75" s="14">
        <v>173.08</v>
      </c>
      <c r="D75" s="14">
        <v>275.3</v>
      </c>
      <c r="E75" s="14">
        <v>275.29000000000002</v>
      </c>
      <c r="F75" s="14">
        <v>221.02</v>
      </c>
      <c r="G75" s="14">
        <v>160.16</v>
      </c>
      <c r="H75" s="14">
        <v>355.5</v>
      </c>
      <c r="I75" s="14">
        <v>277.51</v>
      </c>
      <c r="J75" s="15">
        <v>224.94</v>
      </c>
      <c r="K75" s="22">
        <f t="shared" si="10"/>
        <v>245.35000000000002</v>
      </c>
      <c r="L75" s="9">
        <f t="shared" si="11"/>
        <v>1962.8000000000002</v>
      </c>
      <c r="N75" s="7">
        <f t="shared" si="15"/>
        <v>71</v>
      </c>
      <c r="O75" s="13" t="s">
        <v>24</v>
      </c>
      <c r="P75" s="14">
        <v>74.540000000000006</v>
      </c>
      <c r="Q75" s="14">
        <v>39.86</v>
      </c>
      <c r="R75" s="14">
        <v>45.02</v>
      </c>
      <c r="S75" s="14">
        <v>422.17</v>
      </c>
      <c r="T75" s="14">
        <v>267.13</v>
      </c>
      <c r="U75" s="14">
        <v>120.21</v>
      </c>
      <c r="V75" s="14">
        <v>80.510000000000005</v>
      </c>
      <c r="W75" s="15">
        <v>84.26</v>
      </c>
      <c r="X75" s="22">
        <f t="shared" si="12"/>
        <v>141.71250000000001</v>
      </c>
      <c r="Y75" s="9">
        <f t="shared" si="13"/>
        <v>1133.7</v>
      </c>
    </row>
    <row r="76" spans="1:25" ht="15.75">
      <c r="A76" s="7">
        <f t="shared" si="14"/>
        <v>73</v>
      </c>
      <c r="B76" s="13" t="s">
        <v>2</v>
      </c>
      <c r="C76" s="14">
        <v>178.12</v>
      </c>
      <c r="D76" s="14">
        <v>192.29</v>
      </c>
      <c r="E76" s="14">
        <v>182.87</v>
      </c>
      <c r="F76" s="14">
        <v>248.75</v>
      </c>
      <c r="G76" s="14">
        <v>222.47</v>
      </c>
      <c r="H76" s="14">
        <v>251.59</v>
      </c>
      <c r="I76" s="14">
        <v>323.61</v>
      </c>
      <c r="J76" s="15">
        <v>256.38</v>
      </c>
      <c r="K76" s="22">
        <f t="shared" si="10"/>
        <v>232.01</v>
      </c>
      <c r="L76" s="9">
        <f t="shared" si="11"/>
        <v>1856.08</v>
      </c>
      <c r="N76" s="7">
        <f t="shared" si="15"/>
        <v>72</v>
      </c>
      <c r="O76" s="13" t="s">
        <v>16</v>
      </c>
      <c r="P76" s="14">
        <v>87.2</v>
      </c>
      <c r="Q76" s="14">
        <v>139.65</v>
      </c>
      <c r="R76" s="14">
        <v>134.33000000000001</v>
      </c>
      <c r="S76" s="14">
        <v>208.07</v>
      </c>
      <c r="T76" s="14">
        <v>181.38</v>
      </c>
      <c r="U76" s="14">
        <v>146.13</v>
      </c>
      <c r="V76" s="14">
        <v>99.52</v>
      </c>
      <c r="W76" s="15">
        <v>135.13999999999999</v>
      </c>
      <c r="X76" s="22">
        <f t="shared" si="12"/>
        <v>141.42750000000001</v>
      </c>
      <c r="Y76" s="9">
        <f t="shared" si="13"/>
        <v>1131.42</v>
      </c>
    </row>
    <row r="77" spans="1:25" ht="15.75">
      <c r="A77" s="7">
        <f t="shared" si="14"/>
        <v>74</v>
      </c>
      <c r="B77" s="13" t="s">
        <v>45</v>
      </c>
      <c r="C77" s="14">
        <v>180.16</v>
      </c>
      <c r="D77" s="14">
        <v>270.43</v>
      </c>
      <c r="E77" s="14">
        <v>111.16</v>
      </c>
      <c r="F77" s="14">
        <v>286.47000000000003</v>
      </c>
      <c r="G77" s="14">
        <v>234.09</v>
      </c>
      <c r="H77" s="14">
        <v>247.91</v>
      </c>
      <c r="I77" s="14">
        <v>292.91000000000003</v>
      </c>
      <c r="J77" s="15">
        <v>207.04</v>
      </c>
      <c r="K77" s="22">
        <f t="shared" si="10"/>
        <v>228.77125000000001</v>
      </c>
      <c r="L77" s="9">
        <f t="shared" si="11"/>
        <v>1830.17</v>
      </c>
      <c r="N77" s="7">
        <f t="shared" si="15"/>
        <v>73</v>
      </c>
      <c r="O77" s="13" t="s">
        <v>26</v>
      </c>
      <c r="P77" s="14">
        <v>68.819000000000003</v>
      </c>
      <c r="Q77" s="14">
        <v>114.304</v>
      </c>
      <c r="R77" s="14">
        <v>74.98</v>
      </c>
      <c r="S77" s="14">
        <v>109.371</v>
      </c>
      <c r="T77" s="14">
        <v>148.71799999999999</v>
      </c>
      <c r="U77" s="14">
        <v>180.625</v>
      </c>
      <c r="V77" s="14">
        <v>199.99799999999999</v>
      </c>
      <c r="W77" s="15">
        <v>153.41999999999999</v>
      </c>
      <c r="X77" s="22">
        <f t="shared" si="12"/>
        <v>131.27937500000002</v>
      </c>
      <c r="Y77" s="9">
        <f t="shared" si="13"/>
        <v>1050.2350000000001</v>
      </c>
    </row>
    <row r="78" spans="1:25" ht="15.75">
      <c r="A78" s="7">
        <f t="shared" si="14"/>
        <v>75</v>
      </c>
      <c r="B78" s="13" t="s">
        <v>74</v>
      </c>
      <c r="C78" s="14">
        <v>154.25</v>
      </c>
      <c r="D78" s="14">
        <v>221.08</v>
      </c>
      <c r="E78" s="14">
        <v>251.81</v>
      </c>
      <c r="F78" s="14">
        <v>244</v>
      </c>
      <c r="G78" s="14">
        <v>206.71</v>
      </c>
      <c r="H78" s="14">
        <v>227.3</v>
      </c>
      <c r="I78" s="14">
        <v>231.14</v>
      </c>
      <c r="J78" s="15">
        <v>278.89999999999998</v>
      </c>
      <c r="K78" s="22">
        <f t="shared" si="10"/>
        <v>226.89875000000001</v>
      </c>
      <c r="L78" s="9">
        <f t="shared" si="11"/>
        <v>1815.19</v>
      </c>
      <c r="N78" s="7">
        <f t="shared" si="15"/>
        <v>74</v>
      </c>
      <c r="O78" s="13" t="s">
        <v>79</v>
      </c>
      <c r="P78" s="14">
        <v>92.25</v>
      </c>
      <c r="Q78" s="14">
        <v>174.39</v>
      </c>
      <c r="R78" s="14">
        <v>114.21</v>
      </c>
      <c r="S78" s="14">
        <v>127.38</v>
      </c>
      <c r="T78" s="14">
        <v>149.47999999999999</v>
      </c>
      <c r="U78" s="14">
        <v>108.72</v>
      </c>
      <c r="V78" s="14">
        <v>114.15</v>
      </c>
      <c r="W78" s="15">
        <v>156.38</v>
      </c>
      <c r="X78" s="22">
        <f t="shared" si="12"/>
        <v>129.62</v>
      </c>
      <c r="Y78" s="9">
        <f t="shared" si="13"/>
        <v>1036.96</v>
      </c>
    </row>
    <row r="79" spans="1:25" ht="15.75">
      <c r="A79" s="7">
        <f t="shared" si="14"/>
        <v>76</v>
      </c>
      <c r="B79" s="13" t="s">
        <v>1</v>
      </c>
      <c r="C79" s="14">
        <v>210.72</v>
      </c>
      <c r="D79" s="14">
        <v>160.52000000000001</v>
      </c>
      <c r="E79" s="14">
        <v>173.79</v>
      </c>
      <c r="F79" s="14">
        <v>235.5</v>
      </c>
      <c r="G79" s="14">
        <v>172.27</v>
      </c>
      <c r="H79" s="14">
        <v>210.87</v>
      </c>
      <c r="I79" s="14">
        <v>261.32</v>
      </c>
      <c r="J79" s="15">
        <v>276.36</v>
      </c>
      <c r="K79" s="22">
        <f t="shared" si="10"/>
        <v>212.66874999999999</v>
      </c>
      <c r="L79" s="9">
        <f t="shared" si="11"/>
        <v>1701.35</v>
      </c>
      <c r="N79" s="7">
        <f t="shared" si="15"/>
        <v>75</v>
      </c>
      <c r="O79" s="13" t="s">
        <v>68</v>
      </c>
      <c r="P79" s="14">
        <v>14.76</v>
      </c>
      <c r="Q79" s="14">
        <v>56.25</v>
      </c>
      <c r="R79" s="14">
        <v>19.93</v>
      </c>
      <c r="S79" s="14">
        <v>305.25</v>
      </c>
      <c r="T79" s="14">
        <v>142.07</v>
      </c>
      <c r="U79" s="14">
        <v>202.95</v>
      </c>
      <c r="V79" s="14">
        <v>275.24</v>
      </c>
      <c r="W79" s="15">
        <v>7.38</v>
      </c>
      <c r="X79" s="22">
        <f t="shared" si="12"/>
        <v>127.97875000000001</v>
      </c>
      <c r="Y79" s="9">
        <f t="shared" si="13"/>
        <v>1023.83</v>
      </c>
    </row>
    <row r="80" spans="1:25" ht="15.75">
      <c r="A80" s="7">
        <f t="shared" si="14"/>
        <v>77</v>
      </c>
      <c r="B80" s="13" t="s">
        <v>68</v>
      </c>
      <c r="C80" s="14">
        <v>123.73</v>
      </c>
      <c r="D80" s="14">
        <v>154.58000000000001</v>
      </c>
      <c r="E80" s="14">
        <v>230</v>
      </c>
      <c r="F80" s="14">
        <v>156.46</v>
      </c>
      <c r="G80" s="14">
        <v>258.33</v>
      </c>
      <c r="H80" s="14">
        <v>247.3</v>
      </c>
      <c r="I80" s="14">
        <v>176.55</v>
      </c>
      <c r="J80" s="15">
        <v>206.04</v>
      </c>
      <c r="K80" s="22">
        <f t="shared" si="10"/>
        <v>194.12374999999997</v>
      </c>
      <c r="L80" s="9">
        <f t="shared" si="11"/>
        <v>1552.9899999999998</v>
      </c>
      <c r="N80" s="7">
        <f t="shared" si="15"/>
        <v>76</v>
      </c>
      <c r="O80" s="13" t="s">
        <v>18</v>
      </c>
      <c r="P80" s="14">
        <v>139.85</v>
      </c>
      <c r="Q80" s="14">
        <v>146.13</v>
      </c>
      <c r="R80" s="14">
        <v>108.19</v>
      </c>
      <c r="S80" s="14">
        <v>70.34</v>
      </c>
      <c r="T80" s="14">
        <v>107.72</v>
      </c>
      <c r="U80" s="14">
        <v>164.57</v>
      </c>
      <c r="V80" s="14">
        <v>115.75</v>
      </c>
      <c r="W80" s="15">
        <v>129.06</v>
      </c>
      <c r="X80" s="22">
        <f t="shared" si="12"/>
        <v>122.70124999999999</v>
      </c>
      <c r="Y80" s="9">
        <f t="shared" si="13"/>
        <v>981.6099999999999</v>
      </c>
    </row>
    <row r="81" spans="1:25" ht="15.75">
      <c r="A81" s="7">
        <f t="shared" si="14"/>
        <v>78</v>
      </c>
      <c r="B81" s="13" t="s">
        <v>55</v>
      </c>
      <c r="C81" s="14">
        <v>209.48</v>
      </c>
      <c r="D81" s="14">
        <v>234.72</v>
      </c>
      <c r="E81" s="14">
        <v>230.69</v>
      </c>
      <c r="F81" s="14">
        <v>152.1</v>
      </c>
      <c r="G81" s="14">
        <v>151.65</v>
      </c>
      <c r="H81" s="14">
        <v>210.93</v>
      </c>
      <c r="I81" s="14">
        <v>222.51</v>
      </c>
      <c r="J81" s="15">
        <v>121.93</v>
      </c>
      <c r="K81" s="22">
        <f t="shared" si="10"/>
        <v>191.75125</v>
      </c>
      <c r="L81" s="9">
        <f t="shared" si="11"/>
        <v>1534.01</v>
      </c>
      <c r="N81" s="7">
        <f t="shared" si="15"/>
        <v>77</v>
      </c>
      <c r="O81" s="13" t="s">
        <v>61</v>
      </c>
      <c r="P81" s="14">
        <v>140.59</v>
      </c>
      <c r="Q81" s="14">
        <v>188.06</v>
      </c>
      <c r="R81" s="14">
        <v>93.04</v>
      </c>
      <c r="S81" s="14">
        <v>70.48</v>
      </c>
      <c r="T81" s="14">
        <v>54.61</v>
      </c>
      <c r="U81" s="14">
        <v>193.37</v>
      </c>
      <c r="V81" s="14">
        <v>108.84</v>
      </c>
      <c r="W81" s="15">
        <v>82.66</v>
      </c>
      <c r="X81" s="22">
        <f t="shared" si="12"/>
        <v>116.45625</v>
      </c>
      <c r="Y81" s="9">
        <f t="shared" si="13"/>
        <v>931.65</v>
      </c>
    </row>
    <row r="82" spans="1:25" ht="15.75">
      <c r="A82" s="7">
        <f t="shared" si="14"/>
        <v>79</v>
      </c>
      <c r="B82" s="13" t="s">
        <v>37</v>
      </c>
      <c r="C82" s="14">
        <v>120.08</v>
      </c>
      <c r="D82" s="14">
        <v>138.41</v>
      </c>
      <c r="E82" s="14">
        <v>158.94</v>
      </c>
      <c r="F82" s="14">
        <v>170.92</v>
      </c>
      <c r="G82" s="14">
        <v>243.66</v>
      </c>
      <c r="H82" s="14">
        <v>238.2</v>
      </c>
      <c r="I82" s="14">
        <v>242.26</v>
      </c>
      <c r="J82" s="15">
        <v>195.59</v>
      </c>
      <c r="K82" s="22">
        <f t="shared" si="10"/>
        <v>188.50749999999999</v>
      </c>
      <c r="L82" s="9">
        <f t="shared" si="11"/>
        <v>1508.06</v>
      </c>
      <c r="N82" s="7">
        <f t="shared" si="15"/>
        <v>78</v>
      </c>
      <c r="O82" s="13" t="s">
        <v>11</v>
      </c>
      <c r="P82" s="14">
        <v>77.23</v>
      </c>
      <c r="Q82" s="14">
        <v>16.239999999999998</v>
      </c>
      <c r="R82" s="14">
        <v>222.47</v>
      </c>
      <c r="S82" s="14">
        <v>70.11</v>
      </c>
      <c r="T82" s="14">
        <v>98.67</v>
      </c>
      <c r="U82" s="14">
        <v>105.54</v>
      </c>
      <c r="V82" s="14">
        <v>205.86</v>
      </c>
      <c r="W82" s="15">
        <v>74.849999999999994</v>
      </c>
      <c r="X82" s="22">
        <f t="shared" si="12"/>
        <v>108.87125</v>
      </c>
      <c r="Y82" s="9">
        <f t="shared" si="13"/>
        <v>870.97</v>
      </c>
    </row>
    <row r="83" spans="1:25" ht="15.75">
      <c r="A83" s="7">
        <f t="shared" si="14"/>
        <v>80</v>
      </c>
      <c r="B83" s="13" t="s">
        <v>24</v>
      </c>
      <c r="C83" s="14">
        <v>174.82</v>
      </c>
      <c r="D83" s="14">
        <v>227.3</v>
      </c>
      <c r="E83" s="14">
        <v>138.13999999999999</v>
      </c>
      <c r="F83" s="14">
        <v>182.7</v>
      </c>
      <c r="G83" s="14">
        <v>182.33</v>
      </c>
      <c r="H83" s="14">
        <v>188.25</v>
      </c>
      <c r="I83" s="14">
        <v>210.88</v>
      </c>
      <c r="J83" s="15">
        <v>183.69</v>
      </c>
      <c r="K83" s="22">
        <f t="shared" si="10"/>
        <v>186.01375000000002</v>
      </c>
      <c r="L83" s="9">
        <f t="shared" si="11"/>
        <v>1488.1100000000001</v>
      </c>
      <c r="N83" s="7">
        <f t="shared" si="15"/>
        <v>79</v>
      </c>
      <c r="O83" s="13" t="s">
        <v>55</v>
      </c>
      <c r="P83" s="14">
        <v>93.36</v>
      </c>
      <c r="Q83" s="14">
        <v>97.42</v>
      </c>
      <c r="R83" s="14">
        <v>34.270000000000003</v>
      </c>
      <c r="S83" s="14">
        <v>116.81</v>
      </c>
      <c r="T83" s="14">
        <v>48.71</v>
      </c>
      <c r="U83" s="14">
        <v>221.45</v>
      </c>
      <c r="V83" s="14">
        <v>173.98</v>
      </c>
      <c r="W83" s="15">
        <v>77.489999999999995</v>
      </c>
      <c r="X83" s="22">
        <f t="shared" si="12"/>
        <v>107.93625</v>
      </c>
      <c r="Y83" s="9">
        <f t="shared" si="13"/>
        <v>863.49</v>
      </c>
    </row>
    <row r="84" spans="1:25" ht="15.75">
      <c r="A84" s="7">
        <f t="shared" si="14"/>
        <v>81</v>
      </c>
      <c r="B84" s="13" t="s">
        <v>60</v>
      </c>
      <c r="C84" s="14">
        <v>138</v>
      </c>
      <c r="D84" s="14">
        <v>173.32</v>
      </c>
      <c r="E84" s="14">
        <v>79.22</v>
      </c>
      <c r="F84" s="14">
        <v>255.14</v>
      </c>
      <c r="G84" s="14">
        <v>224.78</v>
      </c>
      <c r="H84" s="14">
        <v>152.08000000000001</v>
      </c>
      <c r="I84" s="14">
        <v>176.54</v>
      </c>
      <c r="J84" s="15">
        <v>211.7</v>
      </c>
      <c r="K84" s="22">
        <f t="shared" si="10"/>
        <v>176.3475</v>
      </c>
      <c r="L84" s="9">
        <f t="shared" si="11"/>
        <v>1410.78</v>
      </c>
      <c r="N84" s="7">
        <f t="shared" si="15"/>
        <v>80</v>
      </c>
      <c r="O84" s="13" t="s">
        <v>56</v>
      </c>
      <c r="P84" s="14">
        <v>38.380000000000003</v>
      </c>
      <c r="Q84" s="14">
        <v>169.91</v>
      </c>
      <c r="R84" s="14">
        <v>29.16</v>
      </c>
      <c r="S84" s="14">
        <v>45.09</v>
      </c>
      <c r="T84" s="14">
        <v>320.39999999999998</v>
      </c>
      <c r="U84" s="14">
        <v>114.19</v>
      </c>
      <c r="V84" s="14">
        <v>54.63</v>
      </c>
      <c r="W84" s="15">
        <v>17.649999999999999</v>
      </c>
      <c r="X84" s="22">
        <f t="shared" si="12"/>
        <v>98.676249999999982</v>
      </c>
      <c r="Y84" s="9">
        <f t="shared" si="13"/>
        <v>789.40999999999985</v>
      </c>
    </row>
    <row r="85" spans="1:25" ht="15.75">
      <c r="A85" s="7">
        <f t="shared" si="14"/>
        <v>82</v>
      </c>
      <c r="B85" s="13" t="s">
        <v>22</v>
      </c>
      <c r="C85" s="14">
        <v>92.34</v>
      </c>
      <c r="D85" s="14">
        <v>131.97999999999999</v>
      </c>
      <c r="E85" s="14">
        <v>238.05</v>
      </c>
      <c r="F85" s="14">
        <v>139.06</v>
      </c>
      <c r="G85" s="14">
        <v>183.55</v>
      </c>
      <c r="H85" s="14">
        <v>120.59</v>
      </c>
      <c r="I85" s="14">
        <v>204.52</v>
      </c>
      <c r="J85" s="15">
        <v>233.76</v>
      </c>
      <c r="K85" s="22">
        <f t="shared" si="10"/>
        <v>167.98125000000002</v>
      </c>
      <c r="L85" s="9">
        <f t="shared" si="11"/>
        <v>1343.8500000000001</v>
      </c>
      <c r="N85" s="7">
        <f t="shared" si="15"/>
        <v>81</v>
      </c>
      <c r="O85" s="13" t="s">
        <v>5</v>
      </c>
      <c r="P85" s="14">
        <v>85.13</v>
      </c>
      <c r="Q85" s="14">
        <v>106.34</v>
      </c>
      <c r="R85" s="14">
        <v>91.14</v>
      </c>
      <c r="S85" s="14">
        <v>132.1</v>
      </c>
      <c r="T85" s="14">
        <v>126.2</v>
      </c>
      <c r="U85" s="14">
        <v>75.680000000000007</v>
      </c>
      <c r="V85" s="14">
        <v>93.46</v>
      </c>
      <c r="W85" s="15">
        <v>75.66</v>
      </c>
      <c r="X85" s="22">
        <f t="shared" si="12"/>
        <v>98.213750000000019</v>
      </c>
      <c r="Y85" s="9">
        <f t="shared" si="13"/>
        <v>785.71000000000015</v>
      </c>
    </row>
    <row r="86" spans="1:25" ht="15.75">
      <c r="A86" s="7">
        <f t="shared" si="14"/>
        <v>83</v>
      </c>
      <c r="B86" s="13" t="s">
        <v>30</v>
      </c>
      <c r="C86" s="14">
        <v>142.35</v>
      </c>
      <c r="D86" s="14">
        <v>200.43</v>
      </c>
      <c r="E86" s="14">
        <v>110.73</v>
      </c>
      <c r="F86" s="14">
        <v>199.57</v>
      </c>
      <c r="G86" s="14">
        <v>192.4</v>
      </c>
      <c r="H86" s="14">
        <v>155.56</v>
      </c>
      <c r="I86" s="14">
        <v>207</v>
      </c>
      <c r="J86" s="15">
        <v>127.29</v>
      </c>
      <c r="K86" s="22">
        <f t="shared" si="10"/>
        <v>166.91624999999999</v>
      </c>
      <c r="L86" s="9">
        <f t="shared" si="11"/>
        <v>1335.33</v>
      </c>
      <c r="N86" s="7">
        <f t="shared" si="15"/>
        <v>82</v>
      </c>
      <c r="O86" s="13" t="s">
        <v>10</v>
      </c>
      <c r="P86" s="14">
        <v>58.3</v>
      </c>
      <c r="Q86" s="14">
        <v>170.71</v>
      </c>
      <c r="R86" s="14">
        <v>97.03</v>
      </c>
      <c r="S86" s="14">
        <v>74.540000000000006</v>
      </c>
      <c r="T86" s="14">
        <v>116.64</v>
      </c>
      <c r="U86" s="14">
        <v>28.41</v>
      </c>
      <c r="V86" s="14">
        <v>111.67</v>
      </c>
      <c r="W86" s="15">
        <v>87.09</v>
      </c>
      <c r="X86" s="22">
        <f t="shared" si="12"/>
        <v>93.048749999999998</v>
      </c>
      <c r="Y86" s="9">
        <f t="shared" si="13"/>
        <v>744.39</v>
      </c>
    </row>
    <row r="87" spans="1:25" ht="15.75">
      <c r="A87" s="7">
        <f t="shared" si="14"/>
        <v>84</v>
      </c>
      <c r="B87" s="13" t="s">
        <v>58</v>
      </c>
      <c r="C87" s="14">
        <v>139.72</v>
      </c>
      <c r="D87" s="14">
        <v>136.91</v>
      </c>
      <c r="E87" s="14">
        <v>109.88</v>
      </c>
      <c r="F87" s="14">
        <v>218.04</v>
      </c>
      <c r="G87" s="14">
        <v>176.4</v>
      </c>
      <c r="H87" s="14">
        <v>119.35</v>
      </c>
      <c r="I87" s="14">
        <v>167.84</v>
      </c>
      <c r="J87" s="15">
        <v>189.51</v>
      </c>
      <c r="K87" s="22">
        <f t="shared" si="10"/>
        <v>157.20624999999998</v>
      </c>
      <c r="L87" s="9">
        <f t="shared" si="11"/>
        <v>1257.6499999999999</v>
      </c>
      <c r="N87" s="7">
        <f t="shared" si="15"/>
        <v>83</v>
      </c>
      <c r="O87" s="13" t="s">
        <v>104</v>
      </c>
      <c r="P87" s="14">
        <v>210</v>
      </c>
      <c r="Q87" s="14">
        <v>70</v>
      </c>
      <c r="R87" s="14">
        <v>50</v>
      </c>
      <c r="S87" s="14">
        <v>30</v>
      </c>
      <c r="T87" s="14">
        <v>140</v>
      </c>
      <c r="U87" s="19"/>
      <c r="V87" s="19"/>
      <c r="W87" s="15">
        <v>230</v>
      </c>
      <c r="X87" s="22">
        <f t="shared" si="12"/>
        <v>121.66666666666667</v>
      </c>
      <c r="Y87" s="9">
        <f t="shared" si="13"/>
        <v>730</v>
      </c>
    </row>
    <row r="88" spans="1:25" ht="15.75">
      <c r="A88" s="7">
        <f t="shared" si="14"/>
        <v>85</v>
      </c>
      <c r="B88" s="13" t="s">
        <v>34</v>
      </c>
      <c r="C88" s="14">
        <v>119.98</v>
      </c>
      <c r="D88" s="14">
        <v>130.19</v>
      </c>
      <c r="E88" s="14">
        <v>108.25</v>
      </c>
      <c r="F88" s="14">
        <v>192.5</v>
      </c>
      <c r="G88" s="14">
        <v>147.19999999999999</v>
      </c>
      <c r="H88" s="14">
        <v>166.39</v>
      </c>
      <c r="I88" s="14">
        <v>187.39</v>
      </c>
      <c r="J88" s="15">
        <v>185.2</v>
      </c>
      <c r="K88" s="22">
        <f t="shared" si="10"/>
        <v>154.63750000000002</v>
      </c>
      <c r="L88" s="9">
        <f t="shared" si="11"/>
        <v>1237.1000000000001</v>
      </c>
      <c r="N88" s="7">
        <f t="shared" si="15"/>
        <v>84</v>
      </c>
      <c r="O88" s="13" t="s">
        <v>48</v>
      </c>
      <c r="P88" s="14">
        <v>54.98</v>
      </c>
      <c r="Q88" s="14">
        <v>129.12</v>
      </c>
      <c r="R88" s="14">
        <v>19.25</v>
      </c>
      <c r="S88" s="14">
        <v>89.02</v>
      </c>
      <c r="T88" s="14">
        <v>163.56</v>
      </c>
      <c r="U88" s="14">
        <v>110.31</v>
      </c>
      <c r="V88" s="14">
        <v>81.739999999999995</v>
      </c>
      <c r="W88" s="15">
        <v>66.099999999999994</v>
      </c>
      <c r="X88" s="22">
        <f t="shared" si="12"/>
        <v>89.26</v>
      </c>
      <c r="Y88" s="9">
        <f t="shared" si="13"/>
        <v>714.08</v>
      </c>
    </row>
    <row r="89" spans="1:25" ht="15.75">
      <c r="A89" s="7">
        <f t="shared" si="14"/>
        <v>86</v>
      </c>
      <c r="B89" s="13" t="s">
        <v>86</v>
      </c>
      <c r="C89" s="14">
        <v>89.07</v>
      </c>
      <c r="D89" s="14">
        <v>123.03</v>
      </c>
      <c r="E89" s="14">
        <v>173.48</v>
      </c>
      <c r="F89" s="14">
        <v>114.84</v>
      </c>
      <c r="G89" s="14">
        <v>193.73</v>
      </c>
      <c r="H89" s="14">
        <v>255.76</v>
      </c>
      <c r="I89" s="14">
        <v>163.13</v>
      </c>
      <c r="J89" s="15">
        <v>120.79</v>
      </c>
      <c r="K89" s="22">
        <f t="shared" si="10"/>
        <v>154.22874999999999</v>
      </c>
      <c r="L89" s="9">
        <f t="shared" si="11"/>
        <v>1233.83</v>
      </c>
      <c r="N89" s="7">
        <f t="shared" si="15"/>
        <v>85</v>
      </c>
      <c r="O89" s="13" t="s">
        <v>60</v>
      </c>
      <c r="P89" s="14">
        <v>33.21</v>
      </c>
      <c r="Q89" s="14">
        <v>73.8</v>
      </c>
      <c r="R89" s="14">
        <v>173.75</v>
      </c>
      <c r="S89" s="14">
        <v>60.63</v>
      </c>
      <c r="T89" s="14">
        <v>22.14</v>
      </c>
      <c r="U89" s="14">
        <v>75.180000000000007</v>
      </c>
      <c r="V89" s="14">
        <v>167.2</v>
      </c>
      <c r="W89" s="15">
        <v>30.26</v>
      </c>
      <c r="X89" s="22">
        <f t="shared" si="12"/>
        <v>79.521249999999995</v>
      </c>
      <c r="Y89" s="9">
        <f t="shared" si="13"/>
        <v>636.16999999999996</v>
      </c>
    </row>
    <row r="90" spans="1:25" ht="15.75">
      <c r="A90" s="7">
        <f t="shared" si="14"/>
        <v>87</v>
      </c>
      <c r="B90" s="13" t="s">
        <v>14</v>
      </c>
      <c r="C90" s="14">
        <v>161.63</v>
      </c>
      <c r="D90" s="14">
        <v>117.63</v>
      </c>
      <c r="E90" s="14">
        <v>127.24</v>
      </c>
      <c r="F90" s="14">
        <v>167.77</v>
      </c>
      <c r="G90" s="14">
        <v>165.11</v>
      </c>
      <c r="H90" s="14">
        <v>120.21</v>
      </c>
      <c r="I90" s="14">
        <v>187.57</v>
      </c>
      <c r="J90" s="15">
        <v>116.04</v>
      </c>
      <c r="K90" s="22">
        <f t="shared" si="10"/>
        <v>145.4</v>
      </c>
      <c r="L90" s="9">
        <f t="shared" si="11"/>
        <v>1163.2</v>
      </c>
      <c r="N90" s="7">
        <f t="shared" si="15"/>
        <v>86</v>
      </c>
      <c r="O90" s="13" t="s">
        <v>34</v>
      </c>
      <c r="P90" s="14">
        <v>56.09</v>
      </c>
      <c r="Q90" s="14">
        <v>78.94</v>
      </c>
      <c r="R90" s="14">
        <v>61.9</v>
      </c>
      <c r="S90" s="14">
        <v>90.56</v>
      </c>
      <c r="T90" s="14">
        <v>51.61</v>
      </c>
      <c r="U90" s="14">
        <v>43.68</v>
      </c>
      <c r="V90" s="14">
        <v>73.319999999999993</v>
      </c>
      <c r="W90" s="15">
        <v>87.52</v>
      </c>
      <c r="X90" s="22">
        <f t="shared" si="12"/>
        <v>67.952500000000001</v>
      </c>
      <c r="Y90" s="9">
        <f t="shared" si="13"/>
        <v>543.62</v>
      </c>
    </row>
    <row r="91" spans="1:25" ht="15.75">
      <c r="A91" s="7">
        <f t="shared" si="14"/>
        <v>88</v>
      </c>
      <c r="B91" s="13" t="s">
        <v>48</v>
      </c>
      <c r="C91" s="14">
        <v>81.709999999999994</v>
      </c>
      <c r="D91" s="14">
        <v>158.65</v>
      </c>
      <c r="E91" s="14">
        <v>64.959999999999994</v>
      </c>
      <c r="F91" s="14">
        <v>223.49</v>
      </c>
      <c r="G91" s="14">
        <v>120.69</v>
      </c>
      <c r="H91" s="14">
        <v>114.94</v>
      </c>
      <c r="I91" s="14">
        <v>158.85</v>
      </c>
      <c r="J91" s="15">
        <v>205.34</v>
      </c>
      <c r="K91" s="22">
        <f t="shared" si="10"/>
        <v>141.07875000000001</v>
      </c>
      <c r="L91" s="9">
        <f t="shared" si="11"/>
        <v>1128.6300000000001</v>
      </c>
      <c r="N91" s="7">
        <f t="shared" si="15"/>
        <v>87</v>
      </c>
      <c r="O91" s="13" t="s">
        <v>3</v>
      </c>
      <c r="P91" s="14">
        <v>44.28</v>
      </c>
      <c r="Q91" s="14">
        <v>75.91</v>
      </c>
      <c r="R91" s="14">
        <v>51.6</v>
      </c>
      <c r="S91" s="14">
        <v>24.71</v>
      </c>
      <c r="T91" s="14">
        <v>135.77000000000001</v>
      </c>
      <c r="U91" s="14">
        <v>51.66</v>
      </c>
      <c r="V91" s="14">
        <v>53.87</v>
      </c>
      <c r="W91" s="15">
        <v>81.180000000000007</v>
      </c>
      <c r="X91" s="22">
        <f t="shared" si="12"/>
        <v>64.872500000000002</v>
      </c>
      <c r="Y91" s="9">
        <f t="shared" si="13"/>
        <v>518.98</v>
      </c>
    </row>
    <row r="92" spans="1:25" ht="15.75">
      <c r="A92" s="7">
        <f t="shared" si="14"/>
        <v>89</v>
      </c>
      <c r="B92" s="13" t="s">
        <v>20</v>
      </c>
      <c r="C92" s="14">
        <v>90.31</v>
      </c>
      <c r="D92" s="14">
        <v>141.52000000000001</v>
      </c>
      <c r="E92" s="14">
        <v>89.85</v>
      </c>
      <c r="F92" s="14">
        <v>196.27</v>
      </c>
      <c r="G92" s="14">
        <v>91.6</v>
      </c>
      <c r="H92" s="14">
        <v>98.15</v>
      </c>
      <c r="I92" s="14">
        <v>283.01</v>
      </c>
      <c r="J92" s="15">
        <v>137.32</v>
      </c>
      <c r="K92" s="22">
        <f t="shared" si="10"/>
        <v>141.00375</v>
      </c>
      <c r="L92" s="9">
        <f t="shared" si="11"/>
        <v>1128.03</v>
      </c>
      <c r="N92" s="7">
        <f t="shared" si="15"/>
        <v>88</v>
      </c>
      <c r="O92" s="13" t="s">
        <v>86</v>
      </c>
      <c r="P92" s="14">
        <v>65.59</v>
      </c>
      <c r="Q92" s="14">
        <v>43.68</v>
      </c>
      <c r="R92" s="14">
        <v>48.56</v>
      </c>
      <c r="S92" s="14">
        <v>88.61</v>
      </c>
      <c r="T92" s="14">
        <v>63.81</v>
      </c>
      <c r="U92" s="14">
        <v>97.95</v>
      </c>
      <c r="V92" s="14">
        <v>32.53</v>
      </c>
      <c r="W92" s="15">
        <v>47.8</v>
      </c>
      <c r="X92" s="22">
        <f t="shared" si="12"/>
        <v>61.066250000000004</v>
      </c>
      <c r="Y92" s="9">
        <f t="shared" si="13"/>
        <v>488.53000000000003</v>
      </c>
    </row>
    <row r="93" spans="1:25" ht="15.75">
      <c r="A93" s="7">
        <f t="shared" si="14"/>
        <v>90</v>
      </c>
      <c r="B93" s="13" t="s">
        <v>49</v>
      </c>
      <c r="C93" s="14">
        <v>0</v>
      </c>
      <c r="D93" s="14">
        <v>0</v>
      </c>
      <c r="E93" s="14">
        <v>0</v>
      </c>
      <c r="F93" s="14">
        <v>0</v>
      </c>
      <c r="G93" s="14">
        <v>89.26</v>
      </c>
      <c r="H93" s="14">
        <v>174.51</v>
      </c>
      <c r="I93" s="14">
        <v>270.23</v>
      </c>
      <c r="J93" s="15">
        <v>462.22</v>
      </c>
      <c r="K93" s="22">
        <f t="shared" si="10"/>
        <v>124.5275</v>
      </c>
      <c r="L93" s="9">
        <f t="shared" si="11"/>
        <v>996.22</v>
      </c>
      <c r="N93" s="7">
        <f t="shared" si="15"/>
        <v>89</v>
      </c>
      <c r="O93" s="13" t="s">
        <v>17</v>
      </c>
      <c r="P93" s="14">
        <v>50.18</v>
      </c>
      <c r="Q93" s="14">
        <v>61.99</v>
      </c>
      <c r="R93" s="14">
        <v>116.57</v>
      </c>
      <c r="S93" s="14">
        <v>116.98</v>
      </c>
      <c r="T93" s="14">
        <v>42.44</v>
      </c>
      <c r="U93" s="14">
        <v>31</v>
      </c>
      <c r="V93" s="14">
        <v>20.67</v>
      </c>
      <c r="W93" s="15">
        <v>0</v>
      </c>
      <c r="X93" s="22">
        <f t="shared" si="12"/>
        <v>54.978750000000005</v>
      </c>
      <c r="Y93" s="9">
        <f t="shared" si="13"/>
        <v>439.83000000000004</v>
      </c>
    </row>
    <row r="94" spans="1:25" ht="15.75">
      <c r="A94" s="7">
        <f t="shared" si="14"/>
        <v>91</v>
      </c>
      <c r="B94" s="13" t="s">
        <v>54</v>
      </c>
      <c r="C94" s="14">
        <v>125.36</v>
      </c>
      <c r="D94" s="14">
        <v>131.49</v>
      </c>
      <c r="E94" s="14">
        <v>136.65</v>
      </c>
      <c r="F94" s="14">
        <v>149.36000000000001</v>
      </c>
      <c r="G94" s="14">
        <v>107.37</v>
      </c>
      <c r="H94" s="14">
        <v>91.35</v>
      </c>
      <c r="I94" s="14">
        <v>117.64</v>
      </c>
      <c r="J94" s="15">
        <v>124.96</v>
      </c>
      <c r="K94" s="22">
        <f t="shared" si="10"/>
        <v>123.02250000000001</v>
      </c>
      <c r="L94" s="9">
        <f t="shared" si="11"/>
        <v>984.18000000000006</v>
      </c>
      <c r="N94" s="7">
        <f t="shared" si="15"/>
        <v>90</v>
      </c>
      <c r="O94" s="13" t="s">
        <v>12</v>
      </c>
      <c r="P94" s="14">
        <v>0</v>
      </c>
      <c r="Q94" s="14">
        <v>37.200000000000003</v>
      </c>
      <c r="R94" s="14">
        <v>51.66</v>
      </c>
      <c r="S94" s="14">
        <v>24.35</v>
      </c>
      <c r="T94" s="14">
        <v>71.22</v>
      </c>
      <c r="U94" s="14">
        <v>44.26</v>
      </c>
      <c r="V94" s="14">
        <v>11.07</v>
      </c>
      <c r="W94" s="15">
        <v>7.38</v>
      </c>
      <c r="X94" s="22">
        <f t="shared" si="12"/>
        <v>30.892499999999998</v>
      </c>
      <c r="Y94" s="9">
        <f t="shared" si="13"/>
        <v>247.14</v>
      </c>
    </row>
    <row r="95" spans="1:25" ht="15.75">
      <c r="A95" s="7">
        <f t="shared" si="14"/>
        <v>92</v>
      </c>
      <c r="B95" s="13" t="s">
        <v>51</v>
      </c>
      <c r="C95" s="14">
        <v>153.79</v>
      </c>
      <c r="D95" s="14">
        <v>204.08</v>
      </c>
      <c r="E95" s="14">
        <v>19.350000000000001</v>
      </c>
      <c r="F95" s="14">
        <v>110.43</v>
      </c>
      <c r="G95" s="14">
        <v>123.07</v>
      </c>
      <c r="H95" s="14">
        <v>91.65</v>
      </c>
      <c r="I95" s="14">
        <v>147.63</v>
      </c>
      <c r="J95" s="15">
        <v>126.44</v>
      </c>
      <c r="K95" s="22">
        <f t="shared" si="10"/>
        <v>122.05500000000001</v>
      </c>
      <c r="L95" s="9">
        <f t="shared" si="11"/>
        <v>976.44</v>
      </c>
      <c r="N95" s="7">
        <f t="shared" si="15"/>
        <v>91</v>
      </c>
      <c r="O95" s="13" t="s">
        <v>14</v>
      </c>
      <c r="P95" s="14">
        <v>13.63</v>
      </c>
      <c r="Q95" s="14">
        <v>36.9</v>
      </c>
      <c r="R95" s="14">
        <v>87.09</v>
      </c>
      <c r="S95" s="14">
        <v>31.37</v>
      </c>
      <c r="T95" s="14">
        <v>34.68</v>
      </c>
      <c r="U95" s="14">
        <v>11.81</v>
      </c>
      <c r="V95" s="14">
        <v>16.97</v>
      </c>
      <c r="W95" s="15">
        <v>0.74</v>
      </c>
      <c r="X95" s="22">
        <f t="shared" si="12"/>
        <v>29.148750000000003</v>
      </c>
      <c r="Y95" s="9">
        <f t="shared" si="13"/>
        <v>233.19000000000003</v>
      </c>
    </row>
    <row r="96" spans="1:25" ht="15.75">
      <c r="A96" s="7">
        <f t="shared" si="14"/>
        <v>93</v>
      </c>
      <c r="B96" s="13" t="s">
        <v>82</v>
      </c>
      <c r="C96" s="14">
        <v>92.72</v>
      </c>
      <c r="D96" s="14">
        <v>102.54</v>
      </c>
      <c r="E96" s="14">
        <v>121.95</v>
      </c>
      <c r="F96" s="14">
        <v>102.21</v>
      </c>
      <c r="G96" s="14">
        <v>153.15</v>
      </c>
      <c r="H96" s="14">
        <v>111.08</v>
      </c>
      <c r="I96" s="14">
        <v>61.12</v>
      </c>
      <c r="J96" s="15">
        <v>91.03</v>
      </c>
      <c r="K96" s="22">
        <f t="shared" si="10"/>
        <v>104.47499999999999</v>
      </c>
      <c r="L96" s="9">
        <f t="shared" si="11"/>
        <v>835.8</v>
      </c>
      <c r="N96" s="7">
        <f t="shared" si="15"/>
        <v>92</v>
      </c>
      <c r="O96" s="13" t="s">
        <v>67</v>
      </c>
      <c r="P96" s="14">
        <v>7.39</v>
      </c>
      <c r="Q96" s="14">
        <v>26.57</v>
      </c>
      <c r="R96" s="14">
        <v>19.93</v>
      </c>
      <c r="S96" s="14">
        <v>53.14</v>
      </c>
      <c r="T96" s="14">
        <v>19.190000000000001</v>
      </c>
      <c r="U96" s="14">
        <v>22.14</v>
      </c>
      <c r="V96" s="14">
        <v>50.19</v>
      </c>
      <c r="W96" s="15">
        <v>7.41</v>
      </c>
      <c r="X96" s="22">
        <f t="shared" si="12"/>
        <v>25.745000000000001</v>
      </c>
      <c r="Y96" s="9">
        <f t="shared" si="13"/>
        <v>205.96</v>
      </c>
    </row>
    <row r="97" spans="1:25" ht="15.75">
      <c r="A97" s="7">
        <f t="shared" si="14"/>
        <v>94</v>
      </c>
      <c r="B97" s="13" t="s">
        <v>85</v>
      </c>
      <c r="C97" s="14">
        <v>102.71</v>
      </c>
      <c r="D97" s="14">
        <v>29.87</v>
      </c>
      <c r="E97" s="14">
        <v>273.64999999999998</v>
      </c>
      <c r="F97" s="14">
        <v>0</v>
      </c>
      <c r="G97" s="14">
        <v>220.4</v>
      </c>
      <c r="H97" s="14">
        <v>33.15</v>
      </c>
      <c r="I97" s="14">
        <v>65.47</v>
      </c>
      <c r="J97" s="15">
        <v>71.56</v>
      </c>
      <c r="K97" s="22">
        <f t="shared" si="10"/>
        <v>99.601249999999993</v>
      </c>
      <c r="L97" s="9">
        <f t="shared" si="11"/>
        <v>796.81</v>
      </c>
      <c r="N97" s="7">
        <f t="shared" si="15"/>
        <v>93</v>
      </c>
      <c r="O97" s="13" t="s">
        <v>2</v>
      </c>
      <c r="P97" s="14">
        <v>28.85</v>
      </c>
      <c r="Q97" s="14">
        <v>19.190000000000001</v>
      </c>
      <c r="R97" s="14">
        <v>21.4</v>
      </c>
      <c r="S97" s="14">
        <v>38.89</v>
      </c>
      <c r="T97" s="14">
        <v>27.31</v>
      </c>
      <c r="U97" s="14">
        <v>32.380000000000003</v>
      </c>
      <c r="V97" s="14">
        <v>20.71</v>
      </c>
      <c r="W97" s="15">
        <v>8.1199999999999992</v>
      </c>
      <c r="X97" s="22">
        <f t="shared" si="12"/>
        <v>24.606249999999999</v>
      </c>
      <c r="Y97" s="9">
        <f t="shared" si="13"/>
        <v>196.85</v>
      </c>
    </row>
    <row r="98" spans="1:25" ht="15.75">
      <c r="A98" s="7">
        <f t="shared" si="14"/>
        <v>95</v>
      </c>
      <c r="B98" s="13" t="s">
        <v>39</v>
      </c>
      <c r="C98" s="14">
        <v>83.65</v>
      </c>
      <c r="D98" s="14">
        <v>120.75</v>
      </c>
      <c r="E98" s="14">
        <v>19.53</v>
      </c>
      <c r="F98" s="14">
        <v>158.04</v>
      </c>
      <c r="G98" s="14">
        <v>61.58</v>
      </c>
      <c r="H98" s="14">
        <v>83.77</v>
      </c>
      <c r="I98" s="14">
        <v>102.43</v>
      </c>
      <c r="J98" s="15">
        <v>122.59</v>
      </c>
      <c r="K98" s="22">
        <f t="shared" si="10"/>
        <v>94.042500000000004</v>
      </c>
      <c r="L98" s="9">
        <f t="shared" si="11"/>
        <v>752.34</v>
      </c>
      <c r="N98" s="7">
        <f t="shared" si="15"/>
        <v>94</v>
      </c>
      <c r="O98" s="13" t="s">
        <v>74</v>
      </c>
      <c r="P98" s="14">
        <v>36.4</v>
      </c>
      <c r="Q98" s="14">
        <v>22.14</v>
      </c>
      <c r="R98" s="14">
        <v>49.5</v>
      </c>
      <c r="S98" s="14">
        <v>18.45</v>
      </c>
      <c r="T98" s="14">
        <v>18.45</v>
      </c>
      <c r="U98" s="14">
        <v>22.14</v>
      </c>
      <c r="V98" s="14">
        <v>14.78</v>
      </c>
      <c r="W98" s="15">
        <v>0</v>
      </c>
      <c r="X98" s="22">
        <f t="shared" si="12"/>
        <v>22.732499999999998</v>
      </c>
      <c r="Y98" s="9">
        <f t="shared" si="13"/>
        <v>181.85999999999999</v>
      </c>
    </row>
    <row r="99" spans="1:25" ht="15.75">
      <c r="A99" s="25">
        <f t="shared" si="14"/>
        <v>96</v>
      </c>
      <c r="B99" s="13" t="s">
        <v>12</v>
      </c>
      <c r="C99" s="14">
        <v>0</v>
      </c>
      <c r="D99" s="14">
        <v>0</v>
      </c>
      <c r="E99" s="14">
        <v>0.36</v>
      </c>
      <c r="F99" s="14">
        <v>34.630000000000003</v>
      </c>
      <c r="G99" s="14">
        <v>33.93</v>
      </c>
      <c r="H99" s="14">
        <v>49.01</v>
      </c>
      <c r="I99" s="14">
        <v>26.06</v>
      </c>
      <c r="J99" s="15">
        <v>53.69</v>
      </c>
      <c r="K99" s="22">
        <f t="shared" si="10"/>
        <v>24.71</v>
      </c>
      <c r="L99" s="9">
        <f t="shared" si="11"/>
        <v>197.68</v>
      </c>
      <c r="N99" s="7">
        <f t="shared" si="15"/>
        <v>95</v>
      </c>
      <c r="O99" s="13" t="s">
        <v>1</v>
      </c>
      <c r="P99" s="14">
        <v>10.33</v>
      </c>
      <c r="Q99" s="14">
        <v>31.73</v>
      </c>
      <c r="R99" s="14">
        <v>22.89</v>
      </c>
      <c r="S99" s="14">
        <v>22.88</v>
      </c>
      <c r="T99" s="14">
        <v>34.64</v>
      </c>
      <c r="U99" s="14">
        <v>19.66</v>
      </c>
      <c r="V99" s="14">
        <v>15.87</v>
      </c>
      <c r="W99" s="15">
        <v>16.98</v>
      </c>
      <c r="X99" s="22">
        <f t="shared" si="12"/>
        <v>21.872499999999999</v>
      </c>
      <c r="Y99" s="9">
        <f t="shared" si="13"/>
        <v>174.98</v>
      </c>
    </row>
    <row r="100" spans="1:25" ht="15.75">
      <c r="A100" s="25">
        <f t="shared" si="14"/>
        <v>97</v>
      </c>
      <c r="B100" s="13" t="s">
        <v>15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5">
        <v>0</v>
      </c>
      <c r="K100" s="22">
        <f t="shared" ref="K100:K102" si="16">AVERAGE(C100:J100)</f>
        <v>0</v>
      </c>
      <c r="L100" s="9">
        <f t="shared" si="11"/>
        <v>0</v>
      </c>
      <c r="N100" s="7">
        <f t="shared" si="15"/>
        <v>96</v>
      </c>
      <c r="O100" s="13" t="s">
        <v>15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5">
        <v>0</v>
      </c>
      <c r="X100" s="22">
        <f t="shared" ref="X100:X102" si="17">AVERAGE(P100:W100)</f>
        <v>0</v>
      </c>
      <c r="Y100" s="9">
        <f t="shared" si="13"/>
        <v>0</v>
      </c>
    </row>
    <row r="101" spans="1:25" ht="15.75">
      <c r="A101" s="25">
        <f t="shared" si="14"/>
        <v>98</v>
      </c>
      <c r="B101" s="13" t="s">
        <v>33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5">
        <v>0</v>
      </c>
      <c r="K101" s="22">
        <f t="shared" si="16"/>
        <v>0</v>
      </c>
      <c r="L101" s="9">
        <f t="shared" si="11"/>
        <v>0</v>
      </c>
      <c r="N101" s="7">
        <f t="shared" si="15"/>
        <v>97</v>
      </c>
      <c r="O101" s="13" t="s">
        <v>33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5">
        <v>0</v>
      </c>
      <c r="X101" s="22">
        <f t="shared" si="17"/>
        <v>0</v>
      </c>
      <c r="Y101" s="9">
        <f t="shared" si="13"/>
        <v>0</v>
      </c>
    </row>
    <row r="102" spans="1:25" ht="15.75">
      <c r="A102" s="25">
        <f t="shared" si="14"/>
        <v>99</v>
      </c>
      <c r="B102" s="16" t="s">
        <v>43</v>
      </c>
      <c r="C102" s="17">
        <v>0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8">
        <v>0</v>
      </c>
      <c r="K102" s="22">
        <f t="shared" si="16"/>
        <v>0</v>
      </c>
      <c r="L102" s="9">
        <f t="shared" si="11"/>
        <v>0</v>
      </c>
      <c r="N102" s="7">
        <f t="shared" si="15"/>
        <v>98</v>
      </c>
      <c r="O102" s="16" t="s">
        <v>43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8">
        <v>0</v>
      </c>
      <c r="X102" s="22">
        <f t="shared" si="17"/>
        <v>0</v>
      </c>
      <c r="Y102" s="9">
        <f t="shared" si="13"/>
        <v>0</v>
      </c>
    </row>
    <row r="103" spans="1:25" ht="15.75">
      <c r="B103" s="8" t="s">
        <v>101</v>
      </c>
      <c r="C103" s="8">
        <f>SUM(C4:C102)</f>
        <v>62611.522000000019</v>
      </c>
      <c r="D103" s="8">
        <f t="shared" ref="D103:K103" si="18">SUM(D4:D102)</f>
        <v>65981.425000000003</v>
      </c>
      <c r="E103" s="8">
        <f t="shared" si="18"/>
        <v>62799.510000000017</v>
      </c>
      <c r="F103" s="8">
        <f t="shared" si="18"/>
        <v>58495.538999999975</v>
      </c>
      <c r="G103" s="8">
        <f t="shared" si="18"/>
        <v>63321.875000000036</v>
      </c>
      <c r="H103" s="8">
        <f t="shared" si="18"/>
        <v>63381.331000000013</v>
      </c>
      <c r="I103" s="8">
        <f t="shared" si="18"/>
        <v>62634.566999999988</v>
      </c>
      <c r="J103" s="8">
        <f t="shared" si="18"/>
        <v>62570.003999999994</v>
      </c>
      <c r="K103" s="8">
        <f t="shared" si="18"/>
        <v>63754.471624999998</v>
      </c>
      <c r="L103" s="8">
        <f t="shared" ref="L103" si="19">SUM(L4:L102)</f>
        <v>501795.77299999999</v>
      </c>
      <c r="M103" s="1"/>
      <c r="O103" s="8" t="s">
        <v>101</v>
      </c>
      <c r="P103" s="8">
        <f>SUM(P4:P102)</f>
        <v>33008.186999999991</v>
      </c>
      <c r="Q103" s="8">
        <f t="shared" ref="Q103" si="20">SUM(Q4:Q102)</f>
        <v>45797.128000000019</v>
      </c>
      <c r="R103" s="8">
        <f t="shared" ref="R103" si="21">SUM(R4:R102)</f>
        <v>44654.194000000003</v>
      </c>
      <c r="S103" s="8">
        <f t="shared" ref="S103" si="22">SUM(S4:S102)</f>
        <v>39455.400999999983</v>
      </c>
      <c r="T103" s="8">
        <f t="shared" ref="T103" si="23">SUM(T4:T102)</f>
        <v>55259.862999999983</v>
      </c>
      <c r="U103" s="8">
        <f t="shared" ref="U103" si="24">SUM(U4:U102)</f>
        <v>39125.682000000001</v>
      </c>
      <c r="V103" s="8">
        <f t="shared" ref="V103" si="25">SUM(V4:V102)</f>
        <v>34042.353999999999</v>
      </c>
      <c r="W103" s="8">
        <f t="shared" ref="W103:X103" si="26">SUM(W4:W102)</f>
        <v>35866.36599999998</v>
      </c>
      <c r="X103" s="8">
        <f t="shared" si="26"/>
        <v>41726.56354166667</v>
      </c>
      <c r="Y103" s="8">
        <f t="shared" ref="Y103" si="27">SUM(Y4:Y102)</f>
        <v>327209.1750000001</v>
      </c>
    </row>
    <row r="105" spans="1:25" ht="15.75">
      <c r="B105" s="20" t="s">
        <v>111</v>
      </c>
      <c r="O105" s="20" t="s">
        <v>111</v>
      </c>
    </row>
    <row r="106" spans="1:25" ht="15.75">
      <c r="B106" s="21"/>
      <c r="C106" s="20" t="s">
        <v>112</v>
      </c>
      <c r="O106" s="21"/>
      <c r="P106" s="20" t="s">
        <v>112</v>
      </c>
    </row>
  </sheetData>
  <sortState ref="O1381:Y1478">
    <sortCondition descending="1" ref="Y1380:Y1478"/>
  </sortState>
  <mergeCells count="2">
    <mergeCell ref="A2:L2"/>
    <mergeCell ref="N2:Y2"/>
  </mergeCells>
  <pageMargins left="0.7" right="0.7" top="0.75" bottom="0.75" header="0.3" footer="0.3"/>
  <pageSetup scale="48" orientation="portrait"/>
  <rowBreaks count="2" manualBreakCount="2">
    <brk id="43" max="24" man="1"/>
    <brk id="45" max="11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ARUz8BfUnnRIwz+CMhlDiYAAAAAAIAAAAAABBmAAAAAQAAIAAAAJsVwfoHlCYCWMN9aa0pBm8hUfSaYPJUfAkDnnYC4ATiAAAAAA6AAAAAAgAAIAAAALh4zChw8psFbJZnQdM8ACtu9A96aM/8fC6VLZbo/tQwUAAAAKSQ7NN8dNNYZQa4EaAjPSMzBqfI8i0OXSUd2Lcr5YyS+adfOUkGdr0kL6S/1sQgw4gXbC7myyMedejQrs2Rdn8PTqO+w8xZbwh5tuF1OALtQAAAAMLpGLn2F/SCkyk8En/JyikOhuOw+zKGWyZ78we7Az7gFide5+us6bjXxz6HJk/V51PYKcCqYCMRfOiLg3JsN6U=</DataMashup>
</file>

<file path=customXml/itemProps1.xml><?xml version="1.0" encoding="utf-8"?>
<ds:datastoreItem xmlns:ds="http://schemas.openxmlformats.org/officeDocument/2006/customXml" ds:itemID="{FE73941E-D24B-4AD7-926F-68A0DABE71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weekly sales</vt:lpstr>
      <vt:lpstr>'weekly sales'!Print_Area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kofi afful</dc:creator>
  <cp:lastModifiedBy>thinkpad</cp:lastModifiedBy>
  <cp:lastPrinted>2025-12-19T15:25:00Z</cp:lastPrinted>
  <dcterms:created xsi:type="dcterms:W3CDTF">2024-11-20T15:31:00Z</dcterms:created>
  <dcterms:modified xsi:type="dcterms:W3CDTF">2026-06-10T11:46:04Z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0AA7994E3F8143FC9B99A14F6BC27BE3_12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