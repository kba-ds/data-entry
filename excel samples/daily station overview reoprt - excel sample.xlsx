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HOME\Desktop\kofi\data work\GitHub\data entry\"/>
    </mc:Choice>
  </mc:AlternateContent>
  <bookViews>
    <workbookView xWindow="150" yWindow="0" windowWidth="18120" windowHeight="12345"/>
  </bookViews>
  <sheets>
    <sheet name="daily var" sheetId="2" r:id="rId1"/>
  </sheets>
  <definedNames>
    <definedName name="_xlnm.Print_Area" localSheetId="0">'daily var'!$A$1:$U$95</definedName>
  </definedNames>
  <calcPr calcId="191029"/>
</workbook>
</file>

<file path=xl/calcChain.xml><?xml version="1.0" encoding="utf-8"?>
<calcChain xmlns="http://schemas.openxmlformats.org/spreadsheetml/2006/main">
  <c r="C95" i="2" l="1"/>
  <c r="D95" i="2"/>
  <c r="D96" i="2" s="1"/>
  <c r="E95" i="2"/>
  <c r="E96" i="2" s="1"/>
  <c r="F95" i="2"/>
  <c r="G95" i="2"/>
  <c r="H95" i="2"/>
  <c r="I95" i="2"/>
  <c r="J95" i="2"/>
  <c r="K95" i="2"/>
  <c r="L95" i="2"/>
  <c r="L96" i="2" s="1"/>
  <c r="M95" i="2"/>
  <c r="M96" i="2" s="1"/>
  <c r="N95" i="2"/>
  <c r="O95" i="2"/>
  <c r="P95" i="2"/>
  <c r="Q95" i="2"/>
  <c r="R95" i="2"/>
  <c r="S95" i="2"/>
  <c r="T95" i="2"/>
  <c r="T96" i="2" s="1"/>
  <c r="U95" i="2"/>
  <c r="U96" i="2" s="1"/>
  <c r="C96" i="2"/>
  <c r="F96" i="2"/>
  <c r="G96" i="2"/>
  <c r="H96" i="2"/>
  <c r="I96" i="2"/>
  <c r="J96" i="2"/>
  <c r="K96" i="2"/>
  <c r="N96" i="2"/>
  <c r="O96" i="2"/>
  <c r="P96" i="2"/>
  <c r="Q96" i="2"/>
  <c r="R96" i="2"/>
  <c r="S96" i="2"/>
  <c r="B96" i="2"/>
  <c r="B95" i="2"/>
</calcChain>
</file>

<file path=xl/sharedStrings.xml><?xml version="1.0" encoding="utf-8"?>
<sst xmlns="http://schemas.openxmlformats.org/spreadsheetml/2006/main" count="114" uniqueCount="113">
  <si>
    <t>STATION</t>
  </si>
  <si>
    <t>PMS L/S</t>
  </si>
  <si>
    <t>PMS RTT</t>
  </si>
  <si>
    <t>PMS TOPPING</t>
  </si>
  <si>
    <t>AGO L/S</t>
  </si>
  <si>
    <t>AGO RTT</t>
  </si>
  <si>
    <t>AGO TOPPING</t>
  </si>
  <si>
    <t>PMS OPENING STOCK</t>
  </si>
  <si>
    <t>PMS CLOSING STOCK</t>
  </si>
  <si>
    <t>PMS PRODUCT RECEIVED</t>
  </si>
  <si>
    <t>PMS TANK SALES</t>
  </si>
  <si>
    <t>AGO OPENING STOCK</t>
  </si>
  <si>
    <t>AGO CLOSING STOCK</t>
  </si>
  <si>
    <t>AGO PRODUCT RECEIVED</t>
  </si>
  <si>
    <t>AGO TANK SALES</t>
  </si>
  <si>
    <t>REPORTED PMS VAR</t>
  </si>
  <si>
    <t>REPORTED AGO VAR</t>
  </si>
  <si>
    <t>DIFF. BTN REPORTED AND COMPUTED PMS VAR</t>
  </si>
  <si>
    <t>DIFF. BTN REPORTED AND COMPUTED AGO VAR</t>
  </si>
  <si>
    <t>ODORKOR</t>
  </si>
  <si>
    <t>SHUKURA 1</t>
  </si>
  <si>
    <t>SHUKURA 2</t>
  </si>
  <si>
    <t>AGBOGBA</t>
  </si>
  <si>
    <t>OYIBI</t>
  </si>
  <si>
    <t>DANFA</t>
  </si>
  <si>
    <t>TAIFA</t>
  </si>
  <si>
    <t>KATAMANSO</t>
  </si>
  <si>
    <t>BOTWE</t>
  </si>
  <si>
    <t>ASHIAMAN</t>
  </si>
  <si>
    <t>AYIKAI</t>
  </si>
  <si>
    <t>ODUMASE</t>
  </si>
  <si>
    <t>ASHALAJA 1</t>
  </si>
  <si>
    <t>ASHALAJA 3</t>
  </si>
  <si>
    <t>NURSES JNC</t>
  </si>
  <si>
    <t>BORTSIANOR</t>
  </si>
  <si>
    <t>ABLEKUMA</t>
  </si>
  <si>
    <t>DANCHIRA</t>
  </si>
  <si>
    <t>AMANFROM</t>
  </si>
  <si>
    <t>BEGORO</t>
  </si>
  <si>
    <t>TEACHER MANTEY</t>
  </si>
  <si>
    <t>ASIAKWA JNC.</t>
  </si>
  <si>
    <t>KOFORIDUA ABOAB</t>
  </si>
  <si>
    <t>ASONA</t>
  </si>
  <si>
    <t>AKIM MANSO</t>
  </si>
  <si>
    <t>ESSIENIMPONG</t>
  </si>
  <si>
    <t>PAKYI</t>
  </si>
  <si>
    <t>OBUASI 2</t>
  </si>
  <si>
    <t>AKAPOLISO</t>
  </si>
  <si>
    <t>KONKORI</t>
  </si>
  <si>
    <t>KODIE</t>
  </si>
  <si>
    <t>HEMAN</t>
  </si>
  <si>
    <t>TOASE</t>
  </si>
  <si>
    <t>OLD TAFO</t>
  </si>
  <si>
    <t>ABOABO</t>
  </si>
  <si>
    <t>ASUOSO</t>
  </si>
  <si>
    <t>AKROPONG</t>
  </si>
  <si>
    <t>TEPA</t>
  </si>
  <si>
    <t>ANYINASUSO</t>
  </si>
  <si>
    <t>AHENKRO</t>
  </si>
  <si>
    <t>ABOFOUR</t>
  </si>
  <si>
    <t>ABOFOUR 2</t>
  </si>
  <si>
    <t>NYINAHIN</t>
  </si>
  <si>
    <t>ADANKWAME</t>
  </si>
  <si>
    <t>ABOASO</t>
  </si>
  <si>
    <t>ATONSU AGOGO</t>
  </si>
  <si>
    <t>WIAMOASE</t>
  </si>
  <si>
    <t>AGONA</t>
  </si>
  <si>
    <t>DROMANKUMA</t>
  </si>
  <si>
    <t>EJURA 1</t>
  </si>
  <si>
    <t>AGONA 2</t>
  </si>
  <si>
    <t>KUBEASE</t>
  </si>
  <si>
    <t>SUNYANI 2</t>
  </si>
  <si>
    <t>YAWHIMA</t>
  </si>
  <si>
    <t>MANTUKWA</t>
  </si>
  <si>
    <t>DROBO</t>
  </si>
  <si>
    <t>AFRISIPAKROM</t>
  </si>
  <si>
    <t>NTOTROSO</t>
  </si>
  <si>
    <t>CHIRAA</t>
  </si>
  <si>
    <t>NSUATRE</t>
  </si>
  <si>
    <t>TECHIMAN NK</t>
  </si>
  <si>
    <t>OFORIKROM</t>
  </si>
  <si>
    <t>WENCHI KOASE</t>
  </si>
  <si>
    <t>MANKESSIM # 1</t>
  </si>
  <si>
    <t>MANKESSIM #2</t>
  </si>
  <si>
    <t>MANKESSIM #3</t>
  </si>
  <si>
    <t>SALTPOND 2</t>
  </si>
  <si>
    <t>SALTPOND 1</t>
  </si>
  <si>
    <t>ASSIN FOSU</t>
  </si>
  <si>
    <t>ASIKUMA</t>
  </si>
  <si>
    <t>AJUMAKO</t>
  </si>
  <si>
    <t>JAMRA</t>
  </si>
  <si>
    <t>KUNTANASE</t>
  </si>
  <si>
    <t>KASOA 1</t>
  </si>
  <si>
    <t>KASOA 2</t>
  </si>
  <si>
    <t>KASOA 3</t>
  </si>
  <si>
    <t>FETTEH</t>
  </si>
  <si>
    <t>APAM JNC</t>
  </si>
  <si>
    <t>ESHIEM</t>
  </si>
  <si>
    <t>SWEDRU</t>
  </si>
  <si>
    <t>CAPE COAST</t>
  </si>
  <si>
    <t>JUKWA</t>
  </si>
  <si>
    <t>AGONA NKWANTA</t>
  </si>
  <si>
    <t>ELUBO</t>
  </si>
  <si>
    <t>TAKORADI FIJAI</t>
  </si>
  <si>
    <t>DABOASE</t>
  </si>
  <si>
    <t>ESSIPONG</t>
  </si>
  <si>
    <t>BAWDIE</t>
  </si>
  <si>
    <t>DEBISO</t>
  </si>
  <si>
    <t>AXIM NYAMEBEKYE</t>
  </si>
  <si>
    <t>TETREM</t>
  </si>
  <si>
    <t>ABOSSEY OKAI</t>
  </si>
  <si>
    <t>EXPECTED PMS VARIANCE</t>
  </si>
  <si>
    <t>EXPECTED AGO VARIANCE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</si>
</sst>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[$-F800]dddd\,\ mmmm\ dd\,\ yyyy"/>
    <numFmt numFmtId="166" formatCode="#,##0.00_ ;[Red]\-#,##0.00\ "/>
  </numFmts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theme="0"/>
      <name val="Times New Roman"/>
      <family val="1"/>
    </font>
    <font>
      <b/>
      <sz val="11"/>
      <color theme="0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name val="Times New Roman"/>
      <family val="1"/>
    </font>
    <font>
      <b/>
      <sz val="16"/>
      <color theme="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0" tint="-0.1498458815271462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0" applyFont="1"/>
    <xf numFmtId="0" fontId="3" fillId="2" borderId="0" xfId="0" applyFont="1" applyFill="1"/>
    <xf numFmtId="2" fontId="4" fillId="2" borderId="0" xfId="0" applyNumberFormat="1" applyFont="1" applyFill="1"/>
    <xf numFmtId="40" fontId="5" fillId="3" borderId="1" xfId="0" applyNumberFormat="1" applyFont="1" applyFill="1" applyBorder="1"/>
    <xf numFmtId="40" fontId="0" fillId="0" borderId="0" xfId="0" applyNumberFormat="1"/>
    <xf numFmtId="3" fontId="5" fillId="7" borderId="3" xfId="0" applyNumberFormat="1" applyFont="1" applyFill="1" applyBorder="1"/>
    <xf numFmtId="40" fontId="5" fillId="4" borderId="1" xfId="0" applyNumberFormat="1" applyFont="1" applyFill="1" applyBorder="1"/>
    <xf numFmtId="0" fontId="0" fillId="8" borderId="0" xfId="0" applyFill="1"/>
    <xf numFmtId="0" fontId="7" fillId="4" borderId="1" xfId="0" applyFont="1" applyFill="1" applyBorder="1" applyAlignment="1">
      <alignment wrapText="1"/>
    </xf>
    <xf numFmtId="4" fontId="5" fillId="6" borderId="1" xfId="0" applyNumberFormat="1" applyFont="1" applyFill="1" applyBorder="1" applyAlignment="1">
      <alignment wrapText="1"/>
    </xf>
    <xf numFmtId="0" fontId="5" fillId="4" borderId="1" xfId="0" applyFont="1" applyFill="1" applyBorder="1" applyAlignment="1">
      <alignment wrapText="1"/>
    </xf>
    <xf numFmtId="0" fontId="5" fillId="6" borderId="1" xfId="0" applyFont="1" applyFill="1" applyBorder="1" applyAlignment="1">
      <alignment wrapText="1"/>
    </xf>
    <xf numFmtId="0" fontId="5" fillId="7" borderId="1" xfId="0" applyFont="1" applyFill="1" applyBorder="1" applyAlignment="1">
      <alignment wrapText="1"/>
    </xf>
    <xf numFmtId="166" fontId="5" fillId="4" borderId="1" xfId="1" applyNumberFormat="1" applyFont="1" applyFill="1" applyBorder="1" applyAlignment="1">
      <alignment wrapText="1"/>
    </xf>
    <xf numFmtId="40" fontId="5" fillId="5" borderId="4" xfId="1" applyNumberFormat="1" applyFont="1" applyFill="1" applyBorder="1"/>
    <xf numFmtId="166" fontId="5" fillId="7" borderId="1" xfId="1" applyNumberFormat="1" applyFont="1" applyFill="1" applyBorder="1" applyAlignment="1">
      <alignment wrapText="1"/>
    </xf>
    <xf numFmtId="40" fontId="5" fillId="5" borderId="3" xfId="1" applyNumberFormat="1" applyFont="1" applyFill="1" applyBorder="1"/>
    <xf numFmtId="40" fontId="5" fillId="7" borderId="4" xfId="1" applyNumberFormat="1" applyFont="1" applyFill="1" applyBorder="1"/>
    <xf numFmtId="40" fontId="5" fillId="7" borderId="1" xfId="1" applyNumberFormat="1" applyFont="1" applyFill="1" applyBorder="1"/>
    <xf numFmtId="40" fontId="6" fillId="0" borderId="6" xfId="0" applyNumberFormat="1" applyFont="1" applyBorder="1"/>
    <xf numFmtId="40" fontId="2" fillId="0" borderId="2" xfId="0" applyNumberFormat="1" applyFont="1" applyBorder="1"/>
    <xf numFmtId="0" fontId="2" fillId="4" borderId="0" xfId="0" applyFont="1" applyFill="1"/>
    <xf numFmtId="164" fontId="8" fillId="2" borderId="5" xfId="0" applyNumberFormat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96"/>
  <sheetViews>
    <sheetView tabSelected="1" topLeftCell="A43" zoomScale="50" zoomScaleNormal="50" zoomScaleSheetLayoutView="50" workbookViewId="0">
      <selection activeCell="Q103" sqref="Q103"/>
    </sheetView>
  </sheetViews>
  <sheetFormatPr defaultColWidth="9" defaultRowHeight="15"/>
  <cols>
    <col min="1" max="1" width="19.42578125" customWidth="1"/>
    <col min="2" max="2" width="15.140625" customWidth="1"/>
    <col min="3" max="3" width="11.140625" customWidth="1"/>
    <col min="4" max="4" width="11.42578125" customWidth="1"/>
    <col min="5" max="5" width="14" customWidth="1"/>
    <col min="6" max="6" width="12.42578125" customWidth="1"/>
    <col min="7" max="7" width="11.28515625" customWidth="1"/>
    <col min="8" max="8" width="16.28515625" customWidth="1"/>
    <col min="9" max="9" width="14.140625" customWidth="1"/>
    <col min="10" max="10" width="14.85546875" customWidth="1"/>
    <col min="11" max="11" width="13.5703125" customWidth="1"/>
    <col min="12" max="12" width="16.28515625" customWidth="1"/>
    <col min="13" max="13" width="18.28515625" customWidth="1"/>
    <col min="14" max="14" width="15.140625" customWidth="1"/>
    <col min="15" max="15" width="14.85546875" customWidth="1"/>
    <col min="16" max="16" width="12.7109375" customWidth="1"/>
    <col min="17" max="18" width="13.7109375" customWidth="1"/>
    <col min="19" max="19" width="12.7109375" customWidth="1"/>
    <col min="20" max="20" width="19.140625" customWidth="1"/>
    <col min="21" max="21" width="19.85546875" customWidth="1"/>
    <col min="22" max="22" width="11.5703125" customWidth="1"/>
  </cols>
  <sheetData>
    <row r="1" spans="1:21" ht="20.25">
      <c r="A1" s="23">
        <v>45862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</row>
    <row r="2" spans="1:21" ht="67.150000000000006" customHeight="1">
      <c r="A2" s="9" t="s">
        <v>0</v>
      </c>
      <c r="B2" s="10" t="s">
        <v>1</v>
      </c>
      <c r="C2" s="11" t="s">
        <v>2</v>
      </c>
      <c r="D2" s="11" t="s">
        <v>3</v>
      </c>
      <c r="E2" s="12" t="s">
        <v>4</v>
      </c>
      <c r="F2" s="11" t="s">
        <v>5</v>
      </c>
      <c r="G2" s="11" t="s">
        <v>6</v>
      </c>
      <c r="H2" s="13" t="s">
        <v>7</v>
      </c>
      <c r="I2" s="12" t="s">
        <v>8</v>
      </c>
      <c r="J2" s="11" t="s">
        <v>9</v>
      </c>
      <c r="K2" s="11" t="s">
        <v>10</v>
      </c>
      <c r="L2" s="13" t="s">
        <v>11</v>
      </c>
      <c r="M2" s="12" t="s">
        <v>12</v>
      </c>
      <c r="N2" s="11" t="s">
        <v>13</v>
      </c>
      <c r="O2" s="11" t="s">
        <v>14</v>
      </c>
      <c r="P2" s="14" t="s">
        <v>111</v>
      </c>
      <c r="Q2" s="14" t="s">
        <v>112</v>
      </c>
      <c r="R2" s="14" t="s">
        <v>15</v>
      </c>
      <c r="S2" s="14" t="s">
        <v>16</v>
      </c>
      <c r="T2" s="16" t="s">
        <v>17</v>
      </c>
      <c r="U2" s="16" t="s">
        <v>18</v>
      </c>
    </row>
    <row r="3" spans="1:21" ht="15.75">
      <c r="A3" s="3" t="s">
        <v>19</v>
      </c>
      <c r="B3" s="4">
        <v>169.68</v>
      </c>
      <c r="C3">
        <v>20</v>
      </c>
      <c r="E3" s="4">
        <v>171.95</v>
      </c>
      <c r="F3">
        <v>20</v>
      </c>
      <c r="H3" s="6">
        <v>8310</v>
      </c>
      <c r="I3" s="4">
        <v>8150</v>
      </c>
      <c r="K3" s="7">
        <v>160</v>
      </c>
      <c r="L3" s="6">
        <v>2030</v>
      </c>
      <c r="M3" s="4">
        <v>1880</v>
      </c>
      <c r="O3" s="21">
        <v>150</v>
      </c>
      <c r="P3" s="15">
        <v>-10.319999999999993</v>
      </c>
      <c r="Q3" s="17">
        <v>1.9499999999999886</v>
      </c>
      <c r="R3">
        <v>-10.32</v>
      </c>
      <c r="S3">
        <v>1.95</v>
      </c>
      <c r="T3" s="18">
        <v>0</v>
      </c>
      <c r="U3" s="19">
        <v>-1.1324274851176597E-14</v>
      </c>
    </row>
    <row r="4" spans="1:21" ht="15.75">
      <c r="A4" s="1" t="s">
        <v>20</v>
      </c>
      <c r="B4" s="4">
        <v>180.26</v>
      </c>
      <c r="E4" s="4">
        <v>30.39</v>
      </c>
      <c r="H4" s="6">
        <v>2930</v>
      </c>
      <c r="I4" s="4">
        <v>2750</v>
      </c>
      <c r="K4" s="7">
        <v>180</v>
      </c>
      <c r="L4" s="6">
        <v>1810</v>
      </c>
      <c r="M4" s="4">
        <v>1780</v>
      </c>
      <c r="O4" s="21">
        <v>30</v>
      </c>
      <c r="P4" s="15">
        <v>0.25999999999999091</v>
      </c>
      <c r="Q4" s="17">
        <v>0.39000000000000057</v>
      </c>
      <c r="R4">
        <v>0.26</v>
      </c>
      <c r="S4">
        <v>0.39</v>
      </c>
      <c r="T4" s="18">
        <v>-9.1038288019262836E-15</v>
      </c>
      <c r="U4" s="19">
        <v>5.5511151231257827E-16</v>
      </c>
    </row>
    <row r="5" spans="1:21" s="8" customFormat="1" ht="15.75">
      <c r="A5" s="1" t="s">
        <v>21</v>
      </c>
      <c r="B5" s="4">
        <v>262.91000000000003</v>
      </c>
      <c r="C5"/>
      <c r="D5"/>
      <c r="E5" s="4">
        <v>58.63</v>
      </c>
      <c r="F5"/>
      <c r="G5"/>
      <c r="H5" s="6">
        <v>2120</v>
      </c>
      <c r="I5" s="4">
        <v>1870</v>
      </c>
      <c r="J5"/>
      <c r="K5" s="7">
        <v>250</v>
      </c>
      <c r="L5" s="6">
        <v>2599</v>
      </c>
      <c r="M5" s="4">
        <v>2520</v>
      </c>
      <c r="N5"/>
      <c r="O5" s="21">
        <v>79</v>
      </c>
      <c r="P5" s="15">
        <v>12.910000000000025</v>
      </c>
      <c r="Q5" s="17">
        <v>-20.369999999999997</v>
      </c>
      <c r="R5">
        <v>12.91</v>
      </c>
      <c r="S5">
        <v>-20.37</v>
      </c>
      <c r="T5" s="18">
        <v>2.4868995751603507E-14</v>
      </c>
      <c r="U5" s="19">
        <v>0</v>
      </c>
    </row>
    <row r="6" spans="1:21" ht="15.75">
      <c r="A6" s="1" t="s">
        <v>22</v>
      </c>
      <c r="B6" s="4">
        <v>173.48</v>
      </c>
      <c r="E6" s="4">
        <v>17.66</v>
      </c>
      <c r="H6" s="6">
        <v>7760</v>
      </c>
      <c r="I6" s="4">
        <v>7580</v>
      </c>
      <c r="K6" s="7">
        <v>180</v>
      </c>
      <c r="L6" s="6">
        <v>2250</v>
      </c>
      <c r="M6" s="4">
        <v>2230</v>
      </c>
      <c r="O6" s="21">
        <v>20</v>
      </c>
      <c r="P6" s="15">
        <v>-6.5200000000000102</v>
      </c>
      <c r="Q6" s="17">
        <v>-2.34</v>
      </c>
      <c r="R6">
        <v>-6.52</v>
      </c>
      <c r="S6">
        <v>-2.34</v>
      </c>
      <c r="T6" s="18">
        <v>-1.0658141036401503E-14</v>
      </c>
      <c r="U6" s="19">
        <v>0</v>
      </c>
    </row>
    <row r="7" spans="1:21" ht="15.75">
      <c r="A7" s="1" t="s">
        <v>23</v>
      </c>
      <c r="B7" s="4">
        <v>517.96</v>
      </c>
      <c r="E7" s="4">
        <v>396.11</v>
      </c>
      <c r="H7" s="6">
        <v>15600</v>
      </c>
      <c r="I7" s="4">
        <v>15100</v>
      </c>
      <c r="K7" s="7">
        <v>500</v>
      </c>
      <c r="L7" s="6">
        <v>18000</v>
      </c>
      <c r="M7" s="4">
        <v>17650</v>
      </c>
      <c r="O7" s="21">
        <v>350</v>
      </c>
      <c r="P7" s="15">
        <v>17.960000000000036</v>
      </c>
      <c r="Q7" s="17">
        <v>46.110000000000014</v>
      </c>
      <c r="R7">
        <v>17.96</v>
      </c>
      <c r="S7">
        <v>46.11</v>
      </c>
      <c r="T7" s="18">
        <v>3.5527136788005009E-14</v>
      </c>
      <c r="U7" s="19">
        <v>0</v>
      </c>
    </row>
    <row r="8" spans="1:21" ht="15.75">
      <c r="A8" s="1" t="s">
        <v>24</v>
      </c>
      <c r="B8" s="4">
        <v>298.77</v>
      </c>
      <c r="C8">
        <v>14.98</v>
      </c>
      <c r="E8" s="4">
        <v>193.98</v>
      </c>
      <c r="H8" s="6">
        <v>3990</v>
      </c>
      <c r="I8" s="4">
        <v>3690</v>
      </c>
      <c r="K8" s="7">
        <v>300</v>
      </c>
      <c r="L8" s="6">
        <v>2850</v>
      </c>
      <c r="M8" s="4">
        <v>2670</v>
      </c>
      <c r="O8" s="21">
        <v>180</v>
      </c>
      <c r="P8" s="15">
        <v>-16.210000000000036</v>
      </c>
      <c r="Q8" s="17">
        <v>13.97999999999999</v>
      </c>
      <c r="R8">
        <v>-16.21</v>
      </c>
      <c r="S8">
        <v>13.98</v>
      </c>
      <c r="T8" s="18">
        <v>-3.5527136788005009E-14</v>
      </c>
      <c r="U8" s="19">
        <v>0</v>
      </c>
    </row>
    <row r="9" spans="1:21" ht="15.75">
      <c r="A9" s="1" t="s">
        <v>25</v>
      </c>
      <c r="B9" s="4">
        <v>506.52</v>
      </c>
      <c r="E9" s="4">
        <v>192.22399999999999</v>
      </c>
      <c r="H9" s="6">
        <v>15610</v>
      </c>
      <c r="I9" s="4">
        <v>15120</v>
      </c>
      <c r="K9" s="7">
        <v>490</v>
      </c>
      <c r="L9" s="6">
        <v>3710</v>
      </c>
      <c r="M9" s="4">
        <v>3510</v>
      </c>
      <c r="O9" s="21">
        <v>200</v>
      </c>
      <c r="P9" s="15">
        <v>16.519999999999982</v>
      </c>
      <c r="Q9" s="17">
        <v>-7.7760000000000105</v>
      </c>
      <c r="R9">
        <v>16.52</v>
      </c>
      <c r="S9">
        <v>-7.7759999999999998</v>
      </c>
      <c r="T9" s="18">
        <v>0</v>
      </c>
      <c r="U9" s="19">
        <v>-1.0658141036401503E-14</v>
      </c>
    </row>
    <row r="10" spans="1:21" ht="15.75">
      <c r="A10" s="1" t="s">
        <v>26</v>
      </c>
      <c r="B10" s="4">
        <v>300.89</v>
      </c>
      <c r="E10" s="4">
        <v>174.06</v>
      </c>
      <c r="H10" s="6">
        <v>10950</v>
      </c>
      <c r="I10" s="4">
        <v>10650</v>
      </c>
      <c r="K10" s="7">
        <v>300</v>
      </c>
      <c r="L10" s="6">
        <v>6490</v>
      </c>
      <c r="M10" s="4">
        <v>6320</v>
      </c>
      <c r="O10" s="21">
        <v>170</v>
      </c>
      <c r="P10" s="15">
        <v>0.88999999999998636</v>
      </c>
      <c r="Q10" s="17">
        <v>4.0600000000000023</v>
      </c>
      <c r="R10">
        <v>0.89</v>
      </c>
      <c r="S10">
        <v>4.0599999999999996</v>
      </c>
      <c r="T10" s="18">
        <v>-1.3655743202889425E-14</v>
      </c>
      <c r="U10" s="19">
        <v>0</v>
      </c>
    </row>
    <row r="11" spans="1:21" ht="15.75">
      <c r="A11" s="1" t="s">
        <v>27</v>
      </c>
      <c r="B11" s="4">
        <v>643.04999999999995</v>
      </c>
      <c r="E11" s="4">
        <v>2169.5100000000002</v>
      </c>
      <c r="H11" s="6">
        <v>24380</v>
      </c>
      <c r="I11" s="4">
        <v>23720</v>
      </c>
      <c r="K11" s="7">
        <v>660</v>
      </c>
      <c r="L11" s="6">
        <v>17380</v>
      </c>
      <c r="M11" s="4">
        <v>15200</v>
      </c>
      <c r="O11" s="21">
        <v>2180</v>
      </c>
      <c r="P11" s="15">
        <v>-16.950000000000045</v>
      </c>
      <c r="Q11" s="17">
        <v>-10.489999999999782</v>
      </c>
      <c r="R11">
        <v>-16.940000000000001</v>
      </c>
      <c r="S11">
        <v>-10.49</v>
      </c>
      <c r="T11" s="18">
        <v>-1.0000000000044196E-2</v>
      </c>
      <c r="U11" s="19">
        <v>2.1849189124623081E-13</v>
      </c>
    </row>
    <row r="12" spans="1:21" ht="15.75">
      <c r="A12" s="1" t="s">
        <v>28</v>
      </c>
      <c r="B12" s="4">
        <v>502.56</v>
      </c>
      <c r="E12" s="4">
        <v>1098.1600000000001</v>
      </c>
      <c r="H12" s="6">
        <v>10360</v>
      </c>
      <c r="I12" s="4">
        <v>9840</v>
      </c>
      <c r="K12" s="7">
        <v>520</v>
      </c>
      <c r="L12" s="6">
        <v>7370</v>
      </c>
      <c r="M12" s="4">
        <v>6290</v>
      </c>
      <c r="O12" s="21">
        <v>1080</v>
      </c>
      <c r="P12" s="15">
        <v>-17.439999999999998</v>
      </c>
      <c r="Q12" s="17">
        <v>18.160000000000082</v>
      </c>
      <c r="R12">
        <v>-17.440000000000001</v>
      </c>
      <c r="S12">
        <v>18.16</v>
      </c>
      <c r="T12" s="18">
        <v>0</v>
      </c>
      <c r="U12" s="19">
        <v>8.1712414612411521E-14</v>
      </c>
    </row>
    <row r="13" spans="1:21" ht="15.75">
      <c r="A13" s="1" t="s">
        <v>29</v>
      </c>
      <c r="B13" s="4">
        <v>365.44</v>
      </c>
      <c r="E13" s="4">
        <v>57.03</v>
      </c>
      <c r="H13" s="6">
        <v>3910</v>
      </c>
      <c r="I13" s="4">
        <v>3550</v>
      </c>
      <c r="K13" s="7">
        <v>360</v>
      </c>
      <c r="L13" s="6">
        <v>1930</v>
      </c>
      <c r="M13" s="4">
        <v>1870</v>
      </c>
      <c r="O13" s="21">
        <v>60</v>
      </c>
      <c r="P13" s="15">
        <v>5.4399999999999977</v>
      </c>
      <c r="Q13" s="17">
        <v>-2.9699999999999989</v>
      </c>
      <c r="R13">
        <v>5.44</v>
      </c>
      <c r="S13">
        <v>-2.97</v>
      </c>
      <c r="T13" s="18">
        <v>0</v>
      </c>
      <c r="U13" s="19">
        <v>0</v>
      </c>
    </row>
    <row r="14" spans="1:21" ht="15.75">
      <c r="A14" s="1" t="s">
        <v>30</v>
      </c>
      <c r="B14" s="4">
        <v>287.41000000000003</v>
      </c>
      <c r="E14" s="4">
        <v>107.41</v>
      </c>
      <c r="H14" s="6">
        <v>3140</v>
      </c>
      <c r="I14" s="4">
        <v>2870</v>
      </c>
      <c r="K14" s="7">
        <v>270</v>
      </c>
      <c r="L14" s="6">
        <v>860</v>
      </c>
      <c r="M14" s="4">
        <v>760</v>
      </c>
      <c r="O14" s="21">
        <v>100</v>
      </c>
      <c r="P14" s="15">
        <v>17.410000000000025</v>
      </c>
      <c r="Q14" s="17">
        <v>7.4099999999999966</v>
      </c>
      <c r="R14">
        <v>17.41</v>
      </c>
      <c r="S14">
        <v>7.41</v>
      </c>
      <c r="T14" s="18">
        <v>0</v>
      </c>
      <c r="U14" s="19">
        <v>0</v>
      </c>
    </row>
    <row r="15" spans="1:21" ht="15.75">
      <c r="A15" s="1" t="s">
        <v>31</v>
      </c>
      <c r="B15" s="4">
        <v>71.790000000000006</v>
      </c>
      <c r="E15" s="4">
        <v>167.67</v>
      </c>
      <c r="H15" s="6">
        <v>1780</v>
      </c>
      <c r="I15" s="4">
        <v>1690</v>
      </c>
      <c r="K15" s="7">
        <v>90</v>
      </c>
      <c r="L15" s="6">
        <v>1230</v>
      </c>
      <c r="M15" s="4">
        <v>1060</v>
      </c>
      <c r="O15" s="21">
        <v>170</v>
      </c>
      <c r="P15" s="15">
        <v>-18.209999999999994</v>
      </c>
      <c r="Q15" s="17">
        <v>-2.3300000000000125</v>
      </c>
      <c r="R15">
        <v>-18.21</v>
      </c>
      <c r="S15">
        <v>-2.33</v>
      </c>
      <c r="T15" s="18">
        <v>0</v>
      </c>
      <c r="U15" s="19">
        <v>-1.2434497875801753E-14</v>
      </c>
    </row>
    <row r="16" spans="1:21" ht="15.75">
      <c r="A16" s="1" t="s">
        <v>32</v>
      </c>
      <c r="B16" s="4">
        <v>504.67</v>
      </c>
      <c r="E16" s="4">
        <v>265.81</v>
      </c>
      <c r="H16" s="6">
        <v>9580</v>
      </c>
      <c r="I16" s="4">
        <v>9050</v>
      </c>
      <c r="K16" s="7">
        <v>530</v>
      </c>
      <c r="L16" s="6">
        <v>3900</v>
      </c>
      <c r="M16" s="4">
        <v>3650</v>
      </c>
      <c r="O16" s="21">
        <v>250</v>
      </c>
      <c r="P16" s="15">
        <v>-25.329999999999984</v>
      </c>
      <c r="Q16" s="17">
        <v>15.810000000000002</v>
      </c>
      <c r="R16">
        <v>-25.33</v>
      </c>
      <c r="S16">
        <v>15.81</v>
      </c>
      <c r="T16" s="18">
        <v>0</v>
      </c>
      <c r="U16" s="19">
        <v>0</v>
      </c>
    </row>
    <row r="17" spans="1:22" ht="15.75">
      <c r="A17" s="1" t="s">
        <v>33</v>
      </c>
      <c r="B17" s="4">
        <v>109.84</v>
      </c>
      <c r="E17" s="4">
        <v>89.75</v>
      </c>
      <c r="H17" s="6">
        <v>2250</v>
      </c>
      <c r="I17" s="4">
        <v>2140</v>
      </c>
      <c r="K17" s="7">
        <v>110</v>
      </c>
      <c r="L17" s="6">
        <v>2090</v>
      </c>
      <c r="M17" s="4">
        <v>1980</v>
      </c>
      <c r="O17" s="21">
        <v>110</v>
      </c>
      <c r="P17" s="15">
        <v>-0.15999999999999659</v>
      </c>
      <c r="Q17" s="17">
        <v>-20.25</v>
      </c>
      <c r="R17">
        <v>-0.16</v>
      </c>
      <c r="S17">
        <v>-20.25</v>
      </c>
      <c r="T17" s="18">
        <v>3.4139358007223564E-15</v>
      </c>
      <c r="U17" s="19">
        <v>0</v>
      </c>
    </row>
    <row r="18" spans="1:22" ht="15.75">
      <c r="A18" s="1" t="s">
        <v>34</v>
      </c>
      <c r="B18" s="4">
        <v>0</v>
      </c>
      <c r="E18" s="4">
        <v>0</v>
      </c>
      <c r="H18" s="6">
        <v>510</v>
      </c>
      <c r="I18" s="4">
        <v>510</v>
      </c>
      <c r="K18" s="7">
        <v>0</v>
      </c>
      <c r="L18" s="6">
        <v>370</v>
      </c>
      <c r="M18" s="4">
        <v>370</v>
      </c>
      <c r="O18" s="21">
        <v>0</v>
      </c>
      <c r="P18" s="15">
        <v>0</v>
      </c>
      <c r="Q18" s="17">
        <v>0</v>
      </c>
      <c r="R18">
        <v>0</v>
      </c>
      <c r="S18">
        <v>0</v>
      </c>
      <c r="T18" s="18">
        <v>0</v>
      </c>
      <c r="U18" s="19">
        <v>0</v>
      </c>
    </row>
    <row r="19" spans="1:22" ht="15.75">
      <c r="A19" s="1" t="s">
        <v>35</v>
      </c>
      <c r="B19" s="4">
        <v>162.94</v>
      </c>
      <c r="E19" s="4">
        <v>79.84</v>
      </c>
      <c r="H19" s="6">
        <v>8600</v>
      </c>
      <c r="I19" s="4">
        <v>8430</v>
      </c>
      <c r="K19" s="7">
        <v>170</v>
      </c>
      <c r="L19" s="6">
        <v>2130</v>
      </c>
      <c r="M19" s="4">
        <v>2040</v>
      </c>
      <c r="O19" s="21">
        <v>90</v>
      </c>
      <c r="P19" s="15">
        <v>-7.0600000000000023</v>
      </c>
      <c r="Q19" s="17">
        <v>-10.159999999999997</v>
      </c>
      <c r="R19">
        <v>-7.06</v>
      </c>
      <c r="S19">
        <v>-10.16</v>
      </c>
      <c r="T19" s="18">
        <v>0</v>
      </c>
      <c r="U19" s="19">
        <v>0</v>
      </c>
    </row>
    <row r="20" spans="1:22" ht="15.75">
      <c r="A20" s="1" t="s">
        <v>36</v>
      </c>
      <c r="B20" s="4">
        <v>170.01</v>
      </c>
      <c r="E20" s="4">
        <v>13.43</v>
      </c>
      <c r="H20" s="6">
        <v>2990</v>
      </c>
      <c r="I20" s="4">
        <v>2820</v>
      </c>
      <c r="K20" s="7">
        <v>170</v>
      </c>
      <c r="L20" s="6">
        <v>840</v>
      </c>
      <c r="M20" s="4">
        <v>830</v>
      </c>
      <c r="O20" s="21">
        <v>10</v>
      </c>
      <c r="P20" s="15">
        <v>9.9999999999909051E-3</v>
      </c>
      <c r="Q20" s="17">
        <v>3.4299999999999997</v>
      </c>
      <c r="R20">
        <v>0.01</v>
      </c>
      <c r="S20">
        <v>13.43</v>
      </c>
      <c r="T20" s="18">
        <v>-9.0951551845463996E-15</v>
      </c>
      <c r="U20" s="19">
        <v>-10</v>
      </c>
    </row>
    <row r="21" spans="1:22" ht="15.75">
      <c r="A21" s="1" t="s">
        <v>37</v>
      </c>
      <c r="B21" s="4">
        <v>539.75</v>
      </c>
      <c r="E21" s="4">
        <v>82.07</v>
      </c>
      <c r="H21" s="6">
        <v>9390</v>
      </c>
      <c r="I21" s="4">
        <v>8870</v>
      </c>
      <c r="K21" s="7">
        <v>520</v>
      </c>
      <c r="L21" s="6">
        <v>5050</v>
      </c>
      <c r="M21" s="4">
        <v>4960</v>
      </c>
      <c r="O21" s="21">
        <v>90</v>
      </c>
      <c r="P21" s="15">
        <v>19.75</v>
      </c>
      <c r="Q21" s="17">
        <v>-7.9300000000000068</v>
      </c>
      <c r="R21">
        <v>19.75</v>
      </c>
      <c r="S21">
        <v>-7.93</v>
      </c>
      <c r="T21" s="18">
        <v>0</v>
      </c>
      <c r="U21" s="19">
        <v>-7.1054273576010019E-15</v>
      </c>
    </row>
    <row r="22" spans="1:22" ht="15.75">
      <c r="A22" s="1" t="s">
        <v>38</v>
      </c>
      <c r="B22" s="4">
        <v>923.75</v>
      </c>
      <c r="E22" s="4">
        <v>761.52</v>
      </c>
      <c r="H22" s="6">
        <v>11250</v>
      </c>
      <c r="I22" s="4">
        <v>10330</v>
      </c>
      <c r="K22" s="7">
        <v>920</v>
      </c>
      <c r="L22" s="6">
        <v>11340</v>
      </c>
      <c r="M22" s="4">
        <v>10600</v>
      </c>
      <c r="O22" s="21">
        <v>740</v>
      </c>
      <c r="P22" s="15">
        <v>3.75</v>
      </c>
      <c r="Q22" s="17">
        <v>21.519999999999982</v>
      </c>
      <c r="R22">
        <v>3.75</v>
      </c>
      <c r="S22">
        <v>21.52</v>
      </c>
      <c r="T22" s="18">
        <v>0</v>
      </c>
      <c r="U22" s="19">
        <v>0</v>
      </c>
    </row>
    <row r="23" spans="1:22" ht="16.5" thickBot="1">
      <c r="A23" s="1" t="s">
        <v>39</v>
      </c>
      <c r="B23" s="4">
        <v>47.72</v>
      </c>
      <c r="E23" s="4">
        <v>109.55</v>
      </c>
      <c r="H23" s="6">
        <v>4560</v>
      </c>
      <c r="I23" s="4">
        <v>4500</v>
      </c>
      <c r="K23" s="7">
        <v>60</v>
      </c>
      <c r="L23" s="6">
        <v>13310</v>
      </c>
      <c r="M23" s="4">
        <v>13190</v>
      </c>
      <c r="O23" s="21">
        <v>120</v>
      </c>
      <c r="P23" s="15">
        <v>-12.280000000000001</v>
      </c>
      <c r="Q23" s="17">
        <v>-10.450000000000003</v>
      </c>
      <c r="R23">
        <v>-12.2</v>
      </c>
      <c r="S23">
        <v>-10.45</v>
      </c>
      <c r="T23" s="18">
        <v>-8.0000000000001847E-2</v>
      </c>
      <c r="U23" s="19">
        <v>0</v>
      </c>
    </row>
    <row r="24" spans="1:22" ht="16.5" thickBot="1">
      <c r="A24" s="1" t="s">
        <v>40</v>
      </c>
      <c r="B24" s="4">
        <v>471.41</v>
      </c>
      <c r="E24" s="4">
        <v>347.26</v>
      </c>
      <c r="H24" s="6">
        <v>8580</v>
      </c>
      <c r="I24" s="4">
        <v>8110</v>
      </c>
      <c r="K24" s="7">
        <v>470</v>
      </c>
      <c r="L24" s="6">
        <v>8640</v>
      </c>
      <c r="M24" s="4">
        <v>8300</v>
      </c>
      <c r="O24" s="21">
        <v>340</v>
      </c>
      <c r="P24" s="15">
        <v>1.410000000000025</v>
      </c>
      <c r="Q24" s="17">
        <v>7.2599999999999909</v>
      </c>
      <c r="R24">
        <v>1.41</v>
      </c>
      <c r="S24">
        <v>7.26</v>
      </c>
      <c r="T24" s="18">
        <v>2.5091040356528538E-14</v>
      </c>
      <c r="U24" s="19">
        <v>-8.8817841970012523E-15</v>
      </c>
      <c r="V24" s="20"/>
    </row>
    <row r="25" spans="1:22" ht="15.75">
      <c r="A25" s="1" t="s">
        <v>41</v>
      </c>
      <c r="B25" s="4">
        <v>163.41</v>
      </c>
      <c r="C25">
        <v>20.170000000000002</v>
      </c>
      <c r="E25" s="4">
        <v>192.92</v>
      </c>
      <c r="F25">
        <v>40.43</v>
      </c>
      <c r="H25" s="6">
        <v>3620</v>
      </c>
      <c r="I25" s="4">
        <v>3490</v>
      </c>
      <c r="K25" s="7">
        <v>130</v>
      </c>
      <c r="L25" s="6">
        <v>5190</v>
      </c>
      <c r="M25" s="4">
        <v>5000</v>
      </c>
      <c r="O25" s="21">
        <v>190</v>
      </c>
      <c r="P25" s="15">
        <v>13.240000000000009</v>
      </c>
      <c r="Q25" s="17">
        <v>-37.510000000000019</v>
      </c>
      <c r="R25">
        <v>13.24</v>
      </c>
      <c r="S25">
        <v>-37.51</v>
      </c>
      <c r="T25" s="18">
        <v>0</v>
      </c>
      <c r="U25" s="19">
        <v>0</v>
      </c>
    </row>
    <row r="26" spans="1:22" ht="15.75">
      <c r="A26" s="1" t="s">
        <v>42</v>
      </c>
      <c r="B26" s="4">
        <v>211.48</v>
      </c>
      <c r="C26">
        <v>20.059999999999999</v>
      </c>
      <c r="E26" s="4">
        <v>266.64</v>
      </c>
      <c r="F26">
        <v>30.11</v>
      </c>
      <c r="H26" s="6">
        <v>12510</v>
      </c>
      <c r="I26" s="4">
        <v>12310</v>
      </c>
      <c r="K26" s="7">
        <v>200</v>
      </c>
      <c r="L26" s="6">
        <v>9770</v>
      </c>
      <c r="M26" s="4">
        <v>9490</v>
      </c>
      <c r="O26" s="21">
        <v>280</v>
      </c>
      <c r="P26" s="15">
        <v>-8.5800000000000125</v>
      </c>
      <c r="Q26" s="17">
        <v>-43.470000000000027</v>
      </c>
      <c r="R26">
        <v>-8.58</v>
      </c>
      <c r="S26">
        <v>-43.47</v>
      </c>
      <c r="T26" s="18">
        <v>0</v>
      </c>
      <c r="U26" s="19">
        <v>0</v>
      </c>
    </row>
    <row r="27" spans="1:22" ht="15.75">
      <c r="A27" s="1" t="s">
        <v>43</v>
      </c>
      <c r="B27" s="4">
        <v>152.51</v>
      </c>
      <c r="E27" s="4">
        <v>72.09</v>
      </c>
      <c r="H27" s="6">
        <v>4170</v>
      </c>
      <c r="I27" s="4">
        <v>4030</v>
      </c>
      <c r="K27" s="7">
        <v>140</v>
      </c>
      <c r="L27" s="6">
        <v>1680</v>
      </c>
      <c r="M27" s="4">
        <v>1600</v>
      </c>
      <c r="O27" s="21">
        <v>80</v>
      </c>
      <c r="P27" s="15">
        <v>12.509999999999991</v>
      </c>
      <c r="Q27" s="17">
        <v>-7.9099999999999966</v>
      </c>
      <c r="R27">
        <v>12.51</v>
      </c>
      <c r="S27">
        <v>-7.91</v>
      </c>
      <c r="T27" s="18">
        <v>0</v>
      </c>
      <c r="U27" s="19">
        <v>0</v>
      </c>
    </row>
    <row r="28" spans="1:22" ht="15.75">
      <c r="A28" s="1" t="s">
        <v>44</v>
      </c>
      <c r="B28" s="4">
        <v>347.31</v>
      </c>
      <c r="E28" s="4">
        <v>359</v>
      </c>
      <c r="H28" s="6">
        <v>9630</v>
      </c>
      <c r="I28" s="4">
        <v>9290</v>
      </c>
      <c r="K28" s="7">
        <v>340</v>
      </c>
      <c r="L28" s="6">
        <v>4070</v>
      </c>
      <c r="M28" s="4">
        <v>3720</v>
      </c>
      <c r="O28" s="21">
        <v>350</v>
      </c>
      <c r="P28" s="15">
        <v>7.3100000000000023</v>
      </c>
      <c r="Q28" s="17">
        <v>9</v>
      </c>
      <c r="R28">
        <v>7.31</v>
      </c>
      <c r="S28">
        <v>9</v>
      </c>
      <c r="T28" s="18">
        <v>0</v>
      </c>
      <c r="U28" s="19">
        <v>0</v>
      </c>
    </row>
    <row r="29" spans="1:22" ht="15.75">
      <c r="A29" s="1" t="s">
        <v>45</v>
      </c>
      <c r="B29" s="4">
        <v>309.83999999999997</v>
      </c>
      <c r="E29" s="4">
        <v>184.36699999999999</v>
      </c>
      <c r="H29" s="6">
        <v>4690</v>
      </c>
      <c r="I29" s="4">
        <v>4390</v>
      </c>
      <c r="K29" s="7">
        <v>300</v>
      </c>
      <c r="L29" s="6">
        <v>5450</v>
      </c>
      <c r="M29" s="4">
        <v>5260</v>
      </c>
      <c r="O29" s="21">
        <v>190</v>
      </c>
      <c r="P29" s="15">
        <v>9.839999999999975</v>
      </c>
      <c r="Q29" s="17">
        <v>-5.6330000000000098</v>
      </c>
      <c r="R29">
        <v>9.84</v>
      </c>
      <c r="S29">
        <v>-5.63</v>
      </c>
      <c r="T29" s="18">
        <v>-2.4868995751603507E-14</v>
      </c>
      <c r="U29" s="19">
        <v>-3.0000000000098836E-3</v>
      </c>
    </row>
    <row r="30" spans="1:22" ht="15.75">
      <c r="A30" s="1" t="s">
        <v>46</v>
      </c>
      <c r="B30" s="4">
        <v>354.14</v>
      </c>
      <c r="E30" s="4">
        <v>300.39</v>
      </c>
      <c r="H30" s="6">
        <v>23250</v>
      </c>
      <c r="I30" s="4">
        <v>22890</v>
      </c>
      <c r="K30" s="7">
        <v>360</v>
      </c>
      <c r="L30" s="6">
        <v>13920</v>
      </c>
      <c r="M30" s="4">
        <v>13630</v>
      </c>
      <c r="O30" s="21">
        <v>290</v>
      </c>
      <c r="P30" s="15">
        <v>-5.8600000000000136</v>
      </c>
      <c r="Q30" s="17">
        <v>10.389999999999986</v>
      </c>
      <c r="R30">
        <v>-5.86</v>
      </c>
      <c r="S30">
        <v>10.39</v>
      </c>
      <c r="T30" s="18">
        <v>-1.3322676295501878E-14</v>
      </c>
      <c r="U30" s="19">
        <v>-1.4210854715202004E-14</v>
      </c>
    </row>
    <row r="31" spans="1:22" ht="15.75">
      <c r="A31" s="1" t="s">
        <v>47</v>
      </c>
      <c r="B31" s="4">
        <v>638.64</v>
      </c>
      <c r="E31" s="4">
        <v>202.48</v>
      </c>
      <c r="H31" s="6">
        <v>8630</v>
      </c>
      <c r="I31" s="4">
        <v>7990</v>
      </c>
      <c r="K31" s="7">
        <v>640</v>
      </c>
      <c r="L31" s="6">
        <v>8880</v>
      </c>
      <c r="M31" s="4">
        <v>8680</v>
      </c>
      <c r="O31" s="21">
        <v>200</v>
      </c>
      <c r="P31" s="15">
        <v>-1.3600000000000136</v>
      </c>
      <c r="Q31" s="17">
        <v>2.4799999999999898</v>
      </c>
      <c r="R31">
        <v>-1.36</v>
      </c>
      <c r="S31">
        <v>2.48</v>
      </c>
      <c r="T31" s="18">
        <v>-1.354472090042691E-14</v>
      </c>
      <c r="U31" s="19">
        <v>-1.021405182655144E-14</v>
      </c>
    </row>
    <row r="32" spans="1:22" ht="15.75">
      <c r="A32" s="1" t="s">
        <v>48</v>
      </c>
      <c r="B32" s="4">
        <v>185.12</v>
      </c>
      <c r="E32" s="4">
        <v>409.5</v>
      </c>
      <c r="H32" s="6">
        <v>10550</v>
      </c>
      <c r="I32" s="4">
        <v>10380</v>
      </c>
      <c r="K32" s="7">
        <v>170</v>
      </c>
      <c r="L32" s="6">
        <v>2310</v>
      </c>
      <c r="M32" s="4">
        <v>1880</v>
      </c>
      <c r="O32" s="21">
        <v>430</v>
      </c>
      <c r="P32" s="15">
        <v>15.120000000000005</v>
      </c>
      <c r="Q32" s="17">
        <v>-20.5</v>
      </c>
      <c r="R32">
        <v>15.12</v>
      </c>
      <c r="S32">
        <v>-20.5</v>
      </c>
      <c r="T32" s="18">
        <v>0</v>
      </c>
      <c r="U32" s="19">
        <v>0</v>
      </c>
    </row>
    <row r="33" spans="1:21" ht="15.75">
      <c r="A33" s="1" t="s">
        <v>49</v>
      </c>
      <c r="B33" s="4">
        <v>177.98</v>
      </c>
      <c r="E33" s="4">
        <v>479.45</v>
      </c>
      <c r="G33">
        <v>72</v>
      </c>
      <c r="H33" s="6">
        <v>3710</v>
      </c>
      <c r="I33" s="4">
        <v>3520</v>
      </c>
      <c r="K33" s="7">
        <v>190</v>
      </c>
      <c r="L33" s="6">
        <v>2500</v>
      </c>
      <c r="M33" s="4">
        <v>10930</v>
      </c>
      <c r="N33">
        <v>9000</v>
      </c>
      <c r="O33" s="21">
        <v>570</v>
      </c>
      <c r="P33" s="15">
        <v>-12.02000000000001</v>
      </c>
      <c r="Q33" s="17">
        <v>-162.55000000000001</v>
      </c>
      <c r="R33">
        <v>-12.02</v>
      </c>
      <c r="S33">
        <v>-10.55</v>
      </c>
      <c r="T33" s="18">
        <v>0</v>
      </c>
      <c r="U33" s="19">
        <v>-152</v>
      </c>
    </row>
    <row r="34" spans="1:21" ht="15.75">
      <c r="A34" s="1" t="s">
        <v>50</v>
      </c>
      <c r="B34" s="4">
        <v>953.04</v>
      </c>
      <c r="E34" s="4">
        <v>789.23</v>
      </c>
      <c r="H34" s="6">
        <v>15820</v>
      </c>
      <c r="I34" s="4">
        <v>14870</v>
      </c>
      <c r="K34" s="7">
        <v>950</v>
      </c>
      <c r="L34" s="6">
        <v>9140</v>
      </c>
      <c r="M34" s="4">
        <v>8350</v>
      </c>
      <c r="O34" s="21">
        <v>790</v>
      </c>
      <c r="P34" s="15">
        <v>3.0399999999999636</v>
      </c>
      <c r="Q34" s="17">
        <v>-0.76999999999998181</v>
      </c>
      <c r="R34">
        <v>3.04</v>
      </c>
      <c r="S34">
        <v>-0.77</v>
      </c>
      <c r="T34" s="18">
        <v>-3.6415315207705135E-14</v>
      </c>
      <c r="U34" s="19">
        <v>1.8207657603852567E-14</v>
      </c>
    </row>
    <row r="35" spans="1:21" ht="15.75">
      <c r="A35" s="1" t="s">
        <v>51</v>
      </c>
      <c r="B35" s="4">
        <v>5455.34</v>
      </c>
      <c r="E35" s="4">
        <v>5226.13</v>
      </c>
      <c r="H35" s="6">
        <v>20360</v>
      </c>
      <c r="I35" s="4">
        <v>14980</v>
      </c>
      <c r="K35" s="7">
        <v>5380</v>
      </c>
      <c r="L35" s="6">
        <v>51150</v>
      </c>
      <c r="M35" s="4">
        <v>46020</v>
      </c>
      <c r="O35" s="21">
        <v>5130</v>
      </c>
      <c r="P35" s="15">
        <v>75.340000000000146</v>
      </c>
      <c r="Q35" s="17">
        <v>96.130000000000109</v>
      </c>
      <c r="R35">
        <v>75.34</v>
      </c>
      <c r="S35">
        <v>96.13</v>
      </c>
      <c r="T35" s="18">
        <v>1.4210854715202004E-13</v>
      </c>
      <c r="U35" s="19">
        <v>1.1368683772161603E-13</v>
      </c>
    </row>
    <row r="36" spans="1:21" ht="15.75">
      <c r="A36" s="1" t="s">
        <v>52</v>
      </c>
      <c r="B36" s="4">
        <v>0</v>
      </c>
      <c r="E36" s="4">
        <v>0</v>
      </c>
      <c r="H36" s="6">
        <v>2610</v>
      </c>
      <c r="I36" s="4">
        <v>2610</v>
      </c>
      <c r="K36" s="7">
        <v>0</v>
      </c>
      <c r="L36" s="6">
        <v>2710</v>
      </c>
      <c r="M36" s="4">
        <v>2710</v>
      </c>
      <c r="O36" s="21">
        <v>0</v>
      </c>
      <c r="P36" s="15">
        <v>0</v>
      </c>
      <c r="Q36" s="17">
        <v>0</v>
      </c>
      <c r="R36">
        <v>0</v>
      </c>
      <c r="S36">
        <v>0</v>
      </c>
      <c r="T36" s="18">
        <v>0</v>
      </c>
      <c r="U36" s="19">
        <v>0</v>
      </c>
    </row>
    <row r="37" spans="1:21" ht="15.75">
      <c r="A37" s="1" t="s">
        <v>53</v>
      </c>
      <c r="B37" s="4">
        <v>165.24</v>
      </c>
      <c r="E37" s="4">
        <v>32.06</v>
      </c>
      <c r="H37" s="6">
        <v>1630</v>
      </c>
      <c r="I37" s="4">
        <v>1460</v>
      </c>
      <c r="K37" s="7">
        <v>170</v>
      </c>
      <c r="L37" s="6">
        <v>520</v>
      </c>
      <c r="M37" s="4">
        <v>480</v>
      </c>
      <c r="O37" s="21">
        <v>40</v>
      </c>
      <c r="P37" s="15">
        <v>-4.7599999999999909</v>
      </c>
      <c r="Q37" s="17">
        <v>-7.9399999999999977</v>
      </c>
      <c r="R37">
        <v>-4.76</v>
      </c>
      <c r="S37">
        <v>-7.94</v>
      </c>
      <c r="T37" s="18">
        <v>8.8817841970012523E-15</v>
      </c>
      <c r="U37" s="19">
        <v>0</v>
      </c>
    </row>
    <row r="38" spans="1:21" ht="15.75">
      <c r="A38" s="1" t="s">
        <v>54</v>
      </c>
      <c r="B38" s="4">
        <v>433.72</v>
      </c>
      <c r="E38" s="4">
        <v>93.99</v>
      </c>
      <c r="H38" s="6">
        <v>8730</v>
      </c>
      <c r="I38" s="4">
        <v>8280</v>
      </c>
      <c r="K38" s="7">
        <v>450</v>
      </c>
      <c r="L38" s="6">
        <v>3640</v>
      </c>
      <c r="M38" s="4">
        <v>3530</v>
      </c>
      <c r="O38" s="21">
        <v>110</v>
      </c>
      <c r="P38" s="15">
        <v>-16.279999999999973</v>
      </c>
      <c r="Q38" s="17">
        <v>-16.010000000000005</v>
      </c>
      <c r="R38">
        <v>-16.28</v>
      </c>
      <c r="S38">
        <v>-16.100000000000001</v>
      </c>
      <c r="T38" s="18">
        <v>2.8421709430404007E-14</v>
      </c>
      <c r="U38" s="19">
        <v>8.9999999999996305E-2</v>
      </c>
    </row>
    <row r="39" spans="1:21" ht="15.75">
      <c r="A39" s="1" t="s">
        <v>55</v>
      </c>
      <c r="B39" s="4">
        <v>186.76</v>
      </c>
      <c r="E39" s="4">
        <v>815.76</v>
      </c>
      <c r="H39" s="6">
        <v>4040</v>
      </c>
      <c r="I39" s="4">
        <v>3840</v>
      </c>
      <c r="K39" s="7">
        <v>200</v>
      </c>
      <c r="L39" s="6">
        <v>13440</v>
      </c>
      <c r="M39" s="4">
        <v>12630</v>
      </c>
      <c r="O39" s="21">
        <v>810</v>
      </c>
      <c r="P39" s="15">
        <v>-13.240000000000009</v>
      </c>
      <c r="Q39" s="17">
        <v>5.7599999999999909</v>
      </c>
      <c r="R39">
        <v>-13.24</v>
      </c>
      <c r="S39">
        <v>5.76</v>
      </c>
      <c r="T39" s="18">
        <v>0</v>
      </c>
      <c r="U39" s="19">
        <v>-8.8817841970012523E-15</v>
      </c>
    </row>
    <row r="40" spans="1:21" ht="15.75">
      <c r="A40" s="1" t="s">
        <v>56</v>
      </c>
      <c r="B40" s="4">
        <v>214.62</v>
      </c>
      <c r="E40" s="4">
        <v>92.87</v>
      </c>
      <c r="H40" s="6">
        <v>5680</v>
      </c>
      <c r="I40" s="4">
        <v>5470</v>
      </c>
      <c r="K40" s="7">
        <v>210</v>
      </c>
      <c r="L40" s="6">
        <v>4340</v>
      </c>
      <c r="M40" s="4">
        <v>4250</v>
      </c>
      <c r="O40" s="21">
        <v>90</v>
      </c>
      <c r="P40" s="15">
        <v>4.6200000000000045</v>
      </c>
      <c r="Q40" s="17">
        <v>2.8700000000000045</v>
      </c>
      <c r="R40">
        <v>4.62</v>
      </c>
      <c r="S40">
        <v>2.87</v>
      </c>
      <c r="T40" s="18">
        <v>0</v>
      </c>
      <c r="U40" s="19">
        <v>4.4408920985006262E-15</v>
      </c>
    </row>
    <row r="41" spans="1:21" ht="15.75">
      <c r="A41" s="1" t="s">
        <v>57</v>
      </c>
      <c r="B41" s="4">
        <v>211.44</v>
      </c>
      <c r="E41" s="4">
        <v>219.42</v>
      </c>
      <c r="H41" s="6">
        <v>7000</v>
      </c>
      <c r="I41" s="4">
        <v>6800</v>
      </c>
      <c r="K41" s="7">
        <v>200</v>
      </c>
      <c r="L41" s="6">
        <v>3550</v>
      </c>
      <c r="M41" s="4">
        <v>3340</v>
      </c>
      <c r="O41" s="21">
        <v>210</v>
      </c>
      <c r="P41" s="15">
        <v>11.439999999999998</v>
      </c>
      <c r="Q41" s="17">
        <v>9.4199999999999875</v>
      </c>
      <c r="R41">
        <v>11.44</v>
      </c>
      <c r="S41">
        <v>9.42</v>
      </c>
      <c r="T41" s="18">
        <v>0</v>
      </c>
      <c r="U41" s="19">
        <v>0</v>
      </c>
    </row>
    <row r="42" spans="1:21" ht="15.75">
      <c r="A42" s="1" t="s">
        <v>58</v>
      </c>
      <c r="B42" s="4">
        <v>121.07</v>
      </c>
      <c r="E42" s="4">
        <v>2829.63</v>
      </c>
      <c r="G42">
        <v>144</v>
      </c>
      <c r="H42" s="6">
        <v>1610</v>
      </c>
      <c r="I42" s="4">
        <v>1480</v>
      </c>
      <c r="K42" s="7">
        <v>130</v>
      </c>
      <c r="L42" s="6">
        <v>17570</v>
      </c>
      <c r="M42" s="4">
        <v>32900</v>
      </c>
      <c r="N42">
        <v>18000</v>
      </c>
      <c r="O42" s="21">
        <v>2670</v>
      </c>
      <c r="P42" s="15">
        <v>-8.9300000000000068</v>
      </c>
      <c r="Q42" s="17">
        <v>15.630000000000109</v>
      </c>
      <c r="R42">
        <v>-8.93</v>
      </c>
      <c r="S42">
        <v>15.63</v>
      </c>
      <c r="T42" s="18">
        <v>0</v>
      </c>
      <c r="U42" s="19">
        <v>1.0835776720341528E-13</v>
      </c>
    </row>
    <row r="43" spans="1:21" ht="15.75">
      <c r="A43" s="1" t="s">
        <v>59</v>
      </c>
      <c r="B43" s="4">
        <v>595.99</v>
      </c>
      <c r="E43" s="4">
        <v>3460.45</v>
      </c>
      <c r="H43" s="6">
        <v>13920</v>
      </c>
      <c r="I43" s="4">
        <v>13320</v>
      </c>
      <c r="K43" s="7">
        <v>600</v>
      </c>
      <c r="L43" s="6">
        <v>27070</v>
      </c>
      <c r="M43" s="4">
        <v>23620</v>
      </c>
      <c r="O43" s="21">
        <v>3450</v>
      </c>
      <c r="P43" s="15">
        <v>-4.0099999999999909</v>
      </c>
      <c r="Q43" s="17">
        <v>10.449999999999818</v>
      </c>
      <c r="R43">
        <v>-4.01</v>
      </c>
      <c r="S43">
        <v>10.45</v>
      </c>
      <c r="T43" s="18">
        <v>8.8817841970012523E-15</v>
      </c>
      <c r="U43" s="19">
        <v>-1.8118839761882555E-13</v>
      </c>
    </row>
    <row r="44" spans="1:21" ht="15.75">
      <c r="A44" s="1" t="s">
        <v>60</v>
      </c>
      <c r="B44" s="4">
        <v>133.12</v>
      </c>
      <c r="E44" s="4">
        <v>679.9</v>
      </c>
      <c r="H44" s="6">
        <v>2690</v>
      </c>
      <c r="I44" s="4">
        <v>2560</v>
      </c>
      <c r="K44" s="7">
        <v>130</v>
      </c>
      <c r="L44" s="6">
        <v>8910</v>
      </c>
      <c r="M44" s="4">
        <v>8250</v>
      </c>
      <c r="O44" s="21">
        <v>660</v>
      </c>
      <c r="P44" s="15">
        <v>3.1200000000000045</v>
      </c>
      <c r="Q44" s="17">
        <v>19.899999999999977</v>
      </c>
      <c r="R44">
        <v>3.12</v>
      </c>
      <c r="S44">
        <v>19.899999999999999</v>
      </c>
      <c r="T44" s="18">
        <v>4.4408920985006262E-15</v>
      </c>
      <c r="U44" s="19">
        <v>0</v>
      </c>
    </row>
    <row r="45" spans="1:21" ht="15.75">
      <c r="A45" s="1" t="s">
        <v>61</v>
      </c>
      <c r="B45" s="4">
        <v>663.61</v>
      </c>
      <c r="E45" s="4">
        <v>425.73</v>
      </c>
      <c r="H45" s="6">
        <v>20200</v>
      </c>
      <c r="I45" s="4">
        <v>19520</v>
      </c>
      <c r="K45" s="7">
        <v>680</v>
      </c>
      <c r="L45" s="6">
        <v>5950</v>
      </c>
      <c r="M45" s="4">
        <v>5530</v>
      </c>
      <c r="O45" s="21">
        <v>420</v>
      </c>
      <c r="P45" s="15">
        <v>-16.389999999999986</v>
      </c>
      <c r="Q45" s="17">
        <v>5.7300000000000182</v>
      </c>
      <c r="R45">
        <v>-16.39</v>
      </c>
      <c r="S45">
        <v>5.73</v>
      </c>
      <c r="T45" s="18">
        <v>0</v>
      </c>
      <c r="U45" s="19">
        <v>1.7763568394002505E-14</v>
      </c>
    </row>
    <row r="46" spans="1:21" ht="15.75">
      <c r="A46" s="1" t="s">
        <v>62</v>
      </c>
      <c r="B46" s="4">
        <v>0</v>
      </c>
      <c r="E46" s="4">
        <v>0</v>
      </c>
      <c r="H46" s="6">
        <v>480</v>
      </c>
      <c r="I46" s="4">
        <v>480</v>
      </c>
      <c r="K46" s="7">
        <v>0</v>
      </c>
      <c r="L46" s="6">
        <v>960</v>
      </c>
      <c r="M46" s="4">
        <v>960</v>
      </c>
      <c r="O46" s="21">
        <v>0</v>
      </c>
      <c r="P46" s="15">
        <v>0</v>
      </c>
      <c r="Q46" s="17">
        <v>0</v>
      </c>
      <c r="R46">
        <v>0</v>
      </c>
      <c r="S46">
        <v>0</v>
      </c>
      <c r="T46" s="18">
        <v>0</v>
      </c>
      <c r="U46" s="19">
        <v>0</v>
      </c>
    </row>
    <row r="47" spans="1:21" ht="15.75">
      <c r="A47" s="1" t="s">
        <v>63</v>
      </c>
      <c r="B47" s="4">
        <v>924.32</v>
      </c>
      <c r="E47" s="4">
        <v>1198.9010000000001</v>
      </c>
      <c r="G47">
        <v>144</v>
      </c>
      <c r="H47" s="6">
        <v>15830</v>
      </c>
      <c r="I47" s="4">
        <v>14920</v>
      </c>
      <c r="K47" s="7">
        <v>910</v>
      </c>
      <c r="L47" s="6">
        <v>3980</v>
      </c>
      <c r="M47" s="4">
        <v>20890</v>
      </c>
      <c r="N47">
        <v>18000</v>
      </c>
      <c r="O47" s="21">
        <v>1090</v>
      </c>
      <c r="P47" s="15">
        <v>14.32000000000005</v>
      </c>
      <c r="Q47" s="17">
        <v>-35.098999999999933</v>
      </c>
      <c r="R47">
        <v>14.32</v>
      </c>
      <c r="S47">
        <v>-35.090000000000003</v>
      </c>
      <c r="T47" s="18">
        <v>4.9737991503207013E-14</v>
      </c>
      <c r="U47" s="19">
        <v>-8.9999999999292868E-3</v>
      </c>
    </row>
    <row r="48" spans="1:21" ht="15.75">
      <c r="A48" s="1" t="s">
        <v>64</v>
      </c>
      <c r="B48" s="4">
        <v>208.37</v>
      </c>
      <c r="E48" s="4">
        <v>158.29</v>
      </c>
      <c r="H48" s="6">
        <v>3550</v>
      </c>
      <c r="I48" s="4">
        <v>3350</v>
      </c>
      <c r="K48" s="7">
        <v>200</v>
      </c>
      <c r="L48" s="6">
        <v>9180</v>
      </c>
      <c r="M48" s="4">
        <v>9020</v>
      </c>
      <c r="O48" s="21">
        <v>160</v>
      </c>
      <c r="P48" s="15">
        <v>8.3700000000000045</v>
      </c>
      <c r="Q48" s="17">
        <v>-1.710000000000008</v>
      </c>
      <c r="R48">
        <v>8.3699999999999992</v>
      </c>
      <c r="S48">
        <v>-1.71</v>
      </c>
      <c r="T48" s="18">
        <v>0</v>
      </c>
      <c r="U48" s="19">
        <v>-7.9936057773011271E-15</v>
      </c>
    </row>
    <row r="49" spans="1:21" ht="15.75">
      <c r="A49" s="1" t="s">
        <v>65</v>
      </c>
      <c r="B49" s="4">
        <v>1057.77</v>
      </c>
      <c r="E49" s="4">
        <v>512.67999999999995</v>
      </c>
      <c r="H49" s="6">
        <v>9100</v>
      </c>
      <c r="I49" s="4">
        <v>8000</v>
      </c>
      <c r="K49" s="7">
        <v>1100</v>
      </c>
      <c r="L49" s="6">
        <v>10440</v>
      </c>
      <c r="M49" s="4">
        <v>9930</v>
      </c>
      <c r="O49" s="21">
        <v>510</v>
      </c>
      <c r="P49" s="15">
        <v>-42.230000000000018</v>
      </c>
      <c r="Q49" s="17">
        <v>2.67999999999995</v>
      </c>
      <c r="R49">
        <v>-42.23</v>
      </c>
      <c r="S49">
        <v>2.68</v>
      </c>
      <c r="T49" s="18">
        <v>0</v>
      </c>
      <c r="U49" s="19">
        <v>-5.0182080713057076E-14</v>
      </c>
    </row>
    <row r="50" spans="1:21" ht="15.75">
      <c r="A50" s="1" t="s">
        <v>66</v>
      </c>
      <c r="B50" s="4">
        <v>1692.0989999999999</v>
      </c>
      <c r="E50" s="4">
        <v>599.58500000000004</v>
      </c>
      <c r="H50" s="6">
        <v>13870</v>
      </c>
      <c r="I50" s="4">
        <v>12170</v>
      </c>
      <c r="K50" s="7">
        <v>1700</v>
      </c>
      <c r="L50" s="6">
        <v>13780</v>
      </c>
      <c r="M50" s="4">
        <v>13190</v>
      </c>
      <c r="O50" s="21">
        <v>590</v>
      </c>
      <c r="P50" s="15">
        <v>-7.9010000000000673</v>
      </c>
      <c r="Q50" s="17">
        <v>9.5850000000000364</v>
      </c>
      <c r="R50">
        <v>-7.9</v>
      </c>
      <c r="S50">
        <v>9.59</v>
      </c>
      <c r="T50" s="18">
        <v>-1.0000000000669473E-3</v>
      </c>
      <c r="U50" s="19">
        <v>-4.9999999999634781E-3</v>
      </c>
    </row>
    <row r="51" spans="1:21" ht="15.75">
      <c r="A51" s="1" t="s">
        <v>67</v>
      </c>
      <c r="B51" s="4">
        <v>161.87</v>
      </c>
      <c r="E51" s="4">
        <v>118.53</v>
      </c>
      <c r="H51" s="6">
        <v>9440</v>
      </c>
      <c r="I51" s="4">
        <v>9260</v>
      </c>
      <c r="K51" s="7">
        <v>180</v>
      </c>
      <c r="L51" s="6">
        <v>1420</v>
      </c>
      <c r="M51" s="4">
        <v>1300</v>
      </c>
      <c r="O51" s="21">
        <v>120</v>
      </c>
      <c r="P51" s="15">
        <v>-18.129999999999995</v>
      </c>
      <c r="Q51" s="17">
        <v>-1.4699999999999989</v>
      </c>
      <c r="R51">
        <v>-18.13</v>
      </c>
      <c r="S51">
        <v>-1.47</v>
      </c>
      <c r="T51" s="18">
        <v>0</v>
      </c>
      <c r="U51" s="19">
        <v>0</v>
      </c>
    </row>
    <row r="52" spans="1:21" ht="15.75">
      <c r="A52" s="1" t="s">
        <v>68</v>
      </c>
      <c r="B52" s="4">
        <v>366.33</v>
      </c>
      <c r="E52" s="4">
        <v>342.84</v>
      </c>
      <c r="H52" s="6">
        <v>9390</v>
      </c>
      <c r="I52" s="4">
        <v>9030</v>
      </c>
      <c r="K52" s="7">
        <v>360</v>
      </c>
      <c r="L52" s="6">
        <v>4870</v>
      </c>
      <c r="M52" s="4">
        <v>4530</v>
      </c>
      <c r="O52" s="21">
        <v>340</v>
      </c>
      <c r="P52" s="15">
        <v>6.3299999999999841</v>
      </c>
      <c r="Q52" s="17">
        <v>2.839999999999975</v>
      </c>
      <c r="R52">
        <v>6.33</v>
      </c>
      <c r="S52">
        <v>2.84</v>
      </c>
      <c r="T52" s="18">
        <v>-1.5987211554602254E-14</v>
      </c>
      <c r="U52" s="19">
        <v>-2.4868995751603507E-14</v>
      </c>
    </row>
    <row r="53" spans="1:21" ht="15.75">
      <c r="A53" s="1" t="s">
        <v>69</v>
      </c>
      <c r="B53" s="4">
        <v>317.98</v>
      </c>
      <c r="E53" s="4">
        <v>286.19</v>
      </c>
      <c r="H53" s="6">
        <v>7090</v>
      </c>
      <c r="I53" s="4">
        <v>6750</v>
      </c>
      <c r="K53" s="7">
        <v>340</v>
      </c>
      <c r="L53" s="6">
        <v>6120</v>
      </c>
      <c r="M53" s="4">
        <v>5830</v>
      </c>
      <c r="O53" s="21">
        <v>290</v>
      </c>
      <c r="P53" s="15">
        <v>-22.019999999999982</v>
      </c>
      <c r="Q53" s="17">
        <v>-3.8100000000000023</v>
      </c>
      <c r="R53">
        <v>-22.02</v>
      </c>
      <c r="S53">
        <v>-3.81</v>
      </c>
      <c r="T53" s="18">
        <v>0</v>
      </c>
      <c r="U53" s="19">
        <v>0</v>
      </c>
    </row>
    <row r="54" spans="1:21" ht="15.75">
      <c r="A54" s="1" t="s">
        <v>70</v>
      </c>
      <c r="B54" s="4">
        <v>90.65</v>
      </c>
      <c r="C54">
        <v>40.520000000000003</v>
      </c>
      <c r="E54" s="4">
        <v>240.28</v>
      </c>
      <c r="F54">
        <v>40.51</v>
      </c>
      <c r="H54" s="6">
        <v>2900</v>
      </c>
      <c r="I54" s="4">
        <v>2820</v>
      </c>
      <c r="K54" s="7">
        <v>80</v>
      </c>
      <c r="L54" s="6">
        <v>8860</v>
      </c>
      <c r="M54" s="4">
        <v>8630</v>
      </c>
      <c r="O54" s="21">
        <v>230</v>
      </c>
      <c r="P54" s="15">
        <v>-29.869999999999997</v>
      </c>
      <c r="Q54" s="17">
        <v>-30.22999999999999</v>
      </c>
      <c r="R54">
        <v>-29.87</v>
      </c>
      <c r="S54">
        <v>-30.23</v>
      </c>
      <c r="T54" s="18">
        <v>0</v>
      </c>
      <c r="U54" s="19">
        <v>0</v>
      </c>
    </row>
    <row r="55" spans="1:21" ht="15.75">
      <c r="A55" s="1" t="s">
        <v>71</v>
      </c>
      <c r="B55" s="4">
        <v>239.46</v>
      </c>
      <c r="E55" s="4">
        <v>455.47</v>
      </c>
      <c r="H55" s="6">
        <v>5540</v>
      </c>
      <c r="I55" s="4">
        <v>5310</v>
      </c>
      <c r="K55" s="7">
        <v>230</v>
      </c>
      <c r="L55" s="6">
        <v>8360</v>
      </c>
      <c r="M55" s="4">
        <v>7920</v>
      </c>
      <c r="O55" s="21">
        <v>440</v>
      </c>
      <c r="P55" s="15">
        <v>9.460000000000008</v>
      </c>
      <c r="Q55" s="17">
        <v>15.470000000000027</v>
      </c>
      <c r="R55">
        <v>9.4600000000000009</v>
      </c>
      <c r="S55">
        <v>15.47</v>
      </c>
      <c r="T55" s="18">
        <v>0</v>
      </c>
      <c r="U55" s="19">
        <v>2.6645352591003757E-14</v>
      </c>
    </row>
    <row r="56" spans="1:21" ht="15.75">
      <c r="A56" s="1" t="s">
        <v>72</v>
      </c>
      <c r="B56" s="4">
        <v>345.47</v>
      </c>
      <c r="E56" s="4">
        <v>0</v>
      </c>
      <c r="H56" s="6">
        <v>6900</v>
      </c>
      <c r="I56" s="4">
        <v>6560</v>
      </c>
      <c r="K56" s="7">
        <v>340</v>
      </c>
      <c r="L56" s="6">
        <v>1410</v>
      </c>
      <c r="M56" s="4">
        <v>1410</v>
      </c>
      <c r="O56" s="21">
        <v>0</v>
      </c>
      <c r="P56" s="15">
        <v>5.4700000000000273</v>
      </c>
      <c r="Q56" s="17">
        <v>0</v>
      </c>
      <c r="R56">
        <v>5.47</v>
      </c>
      <c r="S56">
        <v>0</v>
      </c>
      <c r="T56" s="18">
        <v>2.7533531010703882E-14</v>
      </c>
      <c r="U56" s="19">
        <v>0</v>
      </c>
    </row>
    <row r="57" spans="1:21" ht="15.75">
      <c r="A57" s="1" t="s">
        <v>73</v>
      </c>
      <c r="B57" s="4">
        <v>154.56</v>
      </c>
      <c r="E57" s="4">
        <v>172.44</v>
      </c>
      <c r="H57" s="6">
        <v>9030</v>
      </c>
      <c r="I57" s="4">
        <v>8870</v>
      </c>
      <c r="K57" s="7">
        <v>160</v>
      </c>
      <c r="L57" s="6">
        <v>5870</v>
      </c>
      <c r="M57" s="4">
        <v>5700</v>
      </c>
      <c r="O57" s="21">
        <v>170</v>
      </c>
      <c r="P57" s="15">
        <v>-5.4399999999999977</v>
      </c>
      <c r="Q57" s="17">
        <v>2.4399999999999977</v>
      </c>
      <c r="R57">
        <v>-5.44</v>
      </c>
      <c r="S57">
        <v>2.44</v>
      </c>
      <c r="T57" s="18">
        <v>0</v>
      </c>
      <c r="U57" s="19">
        <v>0</v>
      </c>
    </row>
    <row r="58" spans="1:21" ht="15.75">
      <c r="A58" s="1" t="s">
        <v>74</v>
      </c>
      <c r="B58" s="4">
        <v>207.64</v>
      </c>
      <c r="E58" s="4">
        <v>302.24</v>
      </c>
      <c r="H58" s="6">
        <v>6320</v>
      </c>
      <c r="I58" s="4">
        <v>6110</v>
      </c>
      <c r="K58" s="7">
        <v>210</v>
      </c>
      <c r="L58" s="6">
        <v>9230</v>
      </c>
      <c r="M58" s="4">
        <v>8940</v>
      </c>
      <c r="O58" s="21">
        <v>290</v>
      </c>
      <c r="P58" s="15">
        <v>-2.3600000000000136</v>
      </c>
      <c r="Q58" s="17">
        <v>12.240000000000009</v>
      </c>
      <c r="R58">
        <v>-2.36</v>
      </c>
      <c r="S58">
        <v>12.24</v>
      </c>
      <c r="T58" s="18">
        <v>-1.3766765505351941E-14</v>
      </c>
      <c r="U58" s="19">
        <v>0</v>
      </c>
    </row>
    <row r="59" spans="1:21" ht="15.75">
      <c r="A59" s="1" t="s">
        <v>75</v>
      </c>
      <c r="B59" s="4">
        <v>239.09</v>
      </c>
      <c r="E59" s="4">
        <v>1009.44</v>
      </c>
      <c r="H59" s="6">
        <v>6190</v>
      </c>
      <c r="I59" s="4">
        <v>5950</v>
      </c>
      <c r="K59" s="7">
        <v>240</v>
      </c>
      <c r="L59" s="6">
        <v>7740</v>
      </c>
      <c r="M59" s="4">
        <v>6740</v>
      </c>
      <c r="O59" s="21">
        <v>1000</v>
      </c>
      <c r="P59" s="15">
        <v>-0.90999999999999659</v>
      </c>
      <c r="Q59" s="17">
        <v>9.4400000000000546</v>
      </c>
      <c r="R59">
        <v>-0.91</v>
      </c>
      <c r="S59">
        <v>9.44</v>
      </c>
      <c r="T59" s="18">
        <v>3.4416913763379853E-15</v>
      </c>
      <c r="U59" s="19">
        <v>5.5067062021407764E-14</v>
      </c>
    </row>
    <row r="60" spans="1:21" ht="15.75">
      <c r="A60" s="1" t="s">
        <v>76</v>
      </c>
      <c r="B60" s="4">
        <v>1057.96</v>
      </c>
      <c r="E60" s="4">
        <v>6567.14</v>
      </c>
      <c r="H60" s="6">
        <v>22700</v>
      </c>
      <c r="I60" s="4">
        <v>21640</v>
      </c>
      <c r="K60" s="7">
        <v>1060</v>
      </c>
      <c r="L60" s="6">
        <v>25360</v>
      </c>
      <c r="M60" s="4">
        <v>18840</v>
      </c>
      <c r="O60" s="21">
        <v>6520</v>
      </c>
      <c r="P60" s="15">
        <v>-2.0399999999999636</v>
      </c>
      <c r="Q60" s="17">
        <v>47.140000000000327</v>
      </c>
      <c r="R60">
        <v>-2.04</v>
      </c>
      <c r="S60">
        <v>47.14</v>
      </c>
      <c r="T60" s="18">
        <v>3.6415315207705135E-14</v>
      </c>
      <c r="U60" s="19">
        <v>3.2684965844964609E-13</v>
      </c>
    </row>
    <row r="61" spans="1:21" ht="15.75">
      <c r="A61" s="1" t="s">
        <v>77</v>
      </c>
      <c r="B61" s="4">
        <v>215.81</v>
      </c>
      <c r="E61" s="4">
        <v>794.63</v>
      </c>
      <c r="H61" s="6">
        <v>8500</v>
      </c>
      <c r="I61" s="4">
        <v>8300</v>
      </c>
      <c r="K61" s="7">
        <v>200</v>
      </c>
      <c r="L61" s="6">
        <v>10390</v>
      </c>
      <c r="M61" s="4">
        <v>9600</v>
      </c>
      <c r="O61" s="21">
        <v>790</v>
      </c>
      <c r="P61" s="15">
        <v>15.810000000000002</v>
      </c>
      <c r="Q61" s="17">
        <v>4.6299999999999955</v>
      </c>
      <c r="R61">
        <v>15.81</v>
      </c>
      <c r="S61">
        <v>4.63</v>
      </c>
      <c r="T61" s="18">
        <v>0</v>
      </c>
      <c r="U61" s="19">
        <v>0</v>
      </c>
    </row>
    <row r="62" spans="1:21" ht="15.75">
      <c r="A62" s="1" t="s">
        <v>78</v>
      </c>
      <c r="B62" s="4">
        <v>666.95</v>
      </c>
      <c r="E62" s="4">
        <v>566.77</v>
      </c>
      <c r="H62" s="6">
        <v>24250</v>
      </c>
      <c r="I62" s="4">
        <v>23590</v>
      </c>
      <c r="K62" s="7">
        <v>660</v>
      </c>
      <c r="L62" s="6">
        <v>6790</v>
      </c>
      <c r="M62" s="4">
        <v>6230</v>
      </c>
      <c r="O62" s="21">
        <v>560</v>
      </c>
      <c r="P62" s="15">
        <v>6.9500000000000455</v>
      </c>
      <c r="Q62" s="17">
        <v>6.7699999999999818</v>
      </c>
      <c r="R62">
        <v>6.95</v>
      </c>
      <c r="S62">
        <v>6.77</v>
      </c>
      <c r="T62" s="18">
        <v>4.5297099404706387E-14</v>
      </c>
      <c r="U62" s="19">
        <v>-1.7763568394002505E-14</v>
      </c>
    </row>
    <row r="63" spans="1:21" ht="15.75">
      <c r="A63" s="1" t="s">
        <v>79</v>
      </c>
      <c r="B63" s="4">
        <v>187.75</v>
      </c>
      <c r="E63" s="4">
        <v>57.07</v>
      </c>
      <c r="H63" s="6">
        <v>8590</v>
      </c>
      <c r="I63" s="4">
        <v>8410</v>
      </c>
      <c r="K63" s="7">
        <v>180</v>
      </c>
      <c r="L63" s="6">
        <v>6100</v>
      </c>
      <c r="M63" s="4">
        <v>6040</v>
      </c>
      <c r="O63" s="21">
        <v>60</v>
      </c>
      <c r="P63" s="15">
        <v>7.75</v>
      </c>
      <c r="Q63" s="17">
        <v>-2.9299999999999997</v>
      </c>
      <c r="R63">
        <v>7.75</v>
      </c>
      <c r="S63">
        <v>-2.93</v>
      </c>
      <c r="T63" s="18">
        <v>0</v>
      </c>
      <c r="U63" s="19">
        <v>0</v>
      </c>
    </row>
    <row r="64" spans="1:21" ht="15.75">
      <c r="A64" s="1" t="s">
        <v>80</v>
      </c>
      <c r="B64" s="4">
        <v>368.84</v>
      </c>
      <c r="E64" s="4">
        <v>146.97999999999999</v>
      </c>
      <c r="H64" s="6">
        <v>9750</v>
      </c>
      <c r="I64" s="4">
        <v>9400</v>
      </c>
      <c r="K64" s="7">
        <v>350</v>
      </c>
      <c r="L64" s="6">
        <v>4870</v>
      </c>
      <c r="M64" s="4">
        <v>4720</v>
      </c>
      <c r="O64" s="21">
        <v>150</v>
      </c>
      <c r="P64" s="15">
        <v>18.839999999999975</v>
      </c>
      <c r="Q64" s="17">
        <v>-3.0200000000000102</v>
      </c>
      <c r="R64">
        <v>18.84</v>
      </c>
      <c r="S64">
        <v>-3.02</v>
      </c>
      <c r="T64" s="18">
        <v>0</v>
      </c>
      <c r="U64" s="19">
        <v>-1.021405182655144E-14</v>
      </c>
    </row>
    <row r="65" spans="1:21" ht="15.75">
      <c r="A65" s="1" t="s">
        <v>81</v>
      </c>
      <c r="B65" s="4">
        <v>467.85</v>
      </c>
      <c r="E65" s="4">
        <v>289.02999999999997</v>
      </c>
      <c r="H65" s="6">
        <v>6400</v>
      </c>
      <c r="I65" s="4">
        <v>5950</v>
      </c>
      <c r="K65" s="7">
        <v>450</v>
      </c>
      <c r="L65" s="6">
        <v>3710</v>
      </c>
      <c r="M65" s="4">
        <v>3400</v>
      </c>
      <c r="O65" s="21">
        <v>310</v>
      </c>
      <c r="P65" s="15">
        <v>17.850000000000023</v>
      </c>
      <c r="Q65" s="17">
        <v>-20.970000000000027</v>
      </c>
      <c r="R65">
        <v>17.850000000000001</v>
      </c>
      <c r="S65">
        <v>-20.97</v>
      </c>
      <c r="T65" s="18">
        <v>0</v>
      </c>
      <c r="U65" s="19">
        <v>-2.8421709430404007E-14</v>
      </c>
    </row>
    <row r="66" spans="1:21" ht="15.75">
      <c r="A66" s="1" t="s">
        <v>82</v>
      </c>
      <c r="B66" s="4">
        <v>233.67</v>
      </c>
      <c r="E66" s="4">
        <v>120.39</v>
      </c>
      <c r="H66" s="6">
        <v>3060</v>
      </c>
      <c r="I66" s="4">
        <v>2800</v>
      </c>
      <c r="K66" s="7">
        <v>260</v>
      </c>
      <c r="L66" s="6">
        <v>2800</v>
      </c>
      <c r="M66" s="4">
        <v>2680</v>
      </c>
      <c r="O66" s="21">
        <v>120</v>
      </c>
      <c r="P66" s="15">
        <v>-26.330000000000013</v>
      </c>
      <c r="Q66" s="17">
        <v>0.39000000000000057</v>
      </c>
      <c r="R66">
        <v>-26.33</v>
      </c>
      <c r="S66">
        <v>0.39</v>
      </c>
      <c r="T66" s="18">
        <v>0</v>
      </c>
      <c r="U66" s="19">
        <v>5.5511151231257827E-16</v>
      </c>
    </row>
    <row r="67" spans="1:21" ht="15.75">
      <c r="A67" s="1" t="s">
        <v>83</v>
      </c>
      <c r="B67" s="4">
        <v>235.24</v>
      </c>
      <c r="C67">
        <v>32.409999999999997</v>
      </c>
      <c r="E67" s="4">
        <v>230.49</v>
      </c>
      <c r="F67">
        <v>32.229999999999997</v>
      </c>
      <c r="H67" s="6">
        <v>6570</v>
      </c>
      <c r="I67" s="4">
        <v>6350</v>
      </c>
      <c r="K67" s="7">
        <v>220</v>
      </c>
      <c r="L67" s="6">
        <v>4750</v>
      </c>
      <c r="M67" s="4">
        <v>4530</v>
      </c>
      <c r="O67" s="21">
        <v>220</v>
      </c>
      <c r="P67" s="15">
        <v>-17.169999999999987</v>
      </c>
      <c r="Q67" s="17">
        <v>-21.739999999999981</v>
      </c>
      <c r="R67">
        <v>-17.170000000000002</v>
      </c>
      <c r="S67">
        <v>-21.74</v>
      </c>
      <c r="T67" s="18">
        <v>0</v>
      </c>
      <c r="U67" s="19">
        <v>0</v>
      </c>
    </row>
    <row r="68" spans="1:21" ht="15.75">
      <c r="A68" s="1" t="s">
        <v>84</v>
      </c>
      <c r="B68" s="4">
        <v>220.75</v>
      </c>
      <c r="C68">
        <v>40</v>
      </c>
      <c r="E68" s="4">
        <v>1260.29</v>
      </c>
      <c r="F68">
        <v>60</v>
      </c>
      <c r="H68" s="6">
        <v>5640</v>
      </c>
      <c r="I68" s="4">
        <v>5420</v>
      </c>
      <c r="K68" s="7">
        <v>220</v>
      </c>
      <c r="L68" s="6">
        <v>6390</v>
      </c>
      <c r="M68" s="4">
        <v>5080</v>
      </c>
      <c r="O68" s="21">
        <v>1310</v>
      </c>
      <c r="P68" s="15">
        <v>-39.25</v>
      </c>
      <c r="Q68" s="17">
        <v>-109.71000000000004</v>
      </c>
      <c r="R68">
        <v>-39.25</v>
      </c>
      <c r="S68">
        <v>-109.71</v>
      </c>
      <c r="T68" s="18">
        <v>0</v>
      </c>
      <c r="U68" s="19">
        <v>0</v>
      </c>
    </row>
    <row r="69" spans="1:21" ht="15.75">
      <c r="A69" s="1" t="s">
        <v>85</v>
      </c>
      <c r="B69" s="4">
        <v>298.10000000000002</v>
      </c>
      <c r="E69" s="4">
        <v>163.46</v>
      </c>
      <c r="H69" s="6">
        <v>3840</v>
      </c>
      <c r="I69" s="4">
        <v>3560</v>
      </c>
      <c r="K69" s="7">
        <v>280</v>
      </c>
      <c r="L69" s="6">
        <v>5290</v>
      </c>
      <c r="M69" s="4">
        <v>5140</v>
      </c>
      <c r="O69" s="21">
        <v>150</v>
      </c>
      <c r="P69" s="15">
        <v>18.100000000000023</v>
      </c>
      <c r="Q69" s="17">
        <v>13.460000000000008</v>
      </c>
      <c r="R69">
        <v>18.100000000000001</v>
      </c>
      <c r="S69">
        <v>13.46</v>
      </c>
      <c r="T69" s="18">
        <v>0</v>
      </c>
      <c r="U69" s="19">
        <v>0</v>
      </c>
    </row>
    <row r="70" spans="1:21" ht="15.75">
      <c r="A70" s="1" t="s">
        <v>86</v>
      </c>
      <c r="B70" s="4">
        <v>372.31</v>
      </c>
      <c r="E70" s="4">
        <v>42.39</v>
      </c>
      <c r="H70" s="6">
        <v>6830</v>
      </c>
      <c r="I70" s="4">
        <v>6480</v>
      </c>
      <c r="K70" s="7">
        <v>350</v>
      </c>
      <c r="L70" s="6">
        <v>4030</v>
      </c>
      <c r="M70" s="4">
        <v>3980</v>
      </c>
      <c r="O70" s="21">
        <v>50</v>
      </c>
      <c r="P70" s="15">
        <v>22.310000000000002</v>
      </c>
      <c r="Q70" s="17">
        <v>-7.6099999999999994</v>
      </c>
      <c r="R70">
        <v>22.31</v>
      </c>
      <c r="S70">
        <v>-7.61</v>
      </c>
      <c r="T70" s="18">
        <v>0</v>
      </c>
      <c r="U70" s="19">
        <v>0</v>
      </c>
    </row>
    <row r="71" spans="1:21" ht="15.75">
      <c r="A71" s="1" t="s">
        <v>87</v>
      </c>
      <c r="B71" s="4">
        <v>153.33000000000001</v>
      </c>
      <c r="E71" s="4">
        <v>53.82</v>
      </c>
      <c r="H71" s="6">
        <v>6600</v>
      </c>
      <c r="I71" s="4">
        <v>6510</v>
      </c>
      <c r="K71" s="7">
        <v>90</v>
      </c>
      <c r="L71" s="6">
        <v>990</v>
      </c>
      <c r="M71" s="4">
        <v>920</v>
      </c>
      <c r="O71" s="21">
        <v>70</v>
      </c>
      <c r="P71" s="15">
        <v>63.330000000000013</v>
      </c>
      <c r="Q71" s="17">
        <v>-16.18</v>
      </c>
      <c r="R71">
        <v>63.33</v>
      </c>
      <c r="S71">
        <v>-16.18</v>
      </c>
      <c r="T71" s="18">
        <v>0</v>
      </c>
      <c r="U71" s="19">
        <v>0</v>
      </c>
    </row>
    <row r="72" spans="1:21" ht="15.75">
      <c r="A72" s="1" t="s">
        <v>88</v>
      </c>
      <c r="B72" s="4">
        <v>1505.81</v>
      </c>
      <c r="C72">
        <v>20</v>
      </c>
      <c r="E72" s="4">
        <v>294.56</v>
      </c>
      <c r="F72">
        <v>10</v>
      </c>
      <c r="H72" s="6">
        <v>23080</v>
      </c>
      <c r="I72" s="4">
        <v>21520</v>
      </c>
      <c r="K72" s="7">
        <v>1560</v>
      </c>
      <c r="L72" s="6">
        <v>3720</v>
      </c>
      <c r="M72" s="4">
        <v>3430</v>
      </c>
      <c r="O72" s="21">
        <v>290</v>
      </c>
      <c r="P72" s="15">
        <v>-74.190000000000055</v>
      </c>
      <c r="Q72" s="17">
        <v>-5.4399999999999977</v>
      </c>
      <c r="R72">
        <v>-74.19</v>
      </c>
      <c r="S72">
        <v>-5.44</v>
      </c>
      <c r="T72" s="18">
        <v>0</v>
      </c>
      <c r="U72" s="19">
        <v>0</v>
      </c>
    </row>
    <row r="73" spans="1:21" ht="15.75">
      <c r="A73" s="1" t="s">
        <v>89</v>
      </c>
      <c r="B73" s="4">
        <v>343.86</v>
      </c>
      <c r="C73">
        <v>30</v>
      </c>
      <c r="E73" s="4">
        <v>59.79</v>
      </c>
      <c r="F73">
        <v>20</v>
      </c>
      <c r="H73" s="6">
        <v>9660</v>
      </c>
      <c r="I73" s="4">
        <v>9300</v>
      </c>
      <c r="K73" s="7">
        <v>360</v>
      </c>
      <c r="L73" s="6">
        <v>4400</v>
      </c>
      <c r="M73" s="4">
        <v>4360</v>
      </c>
      <c r="O73" s="21">
        <v>40</v>
      </c>
      <c r="P73" s="15">
        <v>-46.139999999999986</v>
      </c>
      <c r="Q73" s="17">
        <v>-0.21000000000000085</v>
      </c>
      <c r="R73">
        <v>-46.14</v>
      </c>
      <c r="S73">
        <v>-0.21</v>
      </c>
      <c r="T73" s="18">
        <v>0</v>
      </c>
      <c r="U73" s="19">
        <v>-8.6042284408449632E-16</v>
      </c>
    </row>
    <row r="74" spans="1:21" ht="15.75">
      <c r="A74" s="1" t="s">
        <v>90</v>
      </c>
      <c r="B74" s="4">
        <v>1238.5999999999999</v>
      </c>
      <c r="C74">
        <v>10</v>
      </c>
      <c r="E74" s="4">
        <v>271.44</v>
      </c>
      <c r="F74">
        <v>10</v>
      </c>
      <c r="H74" s="6">
        <v>19450</v>
      </c>
      <c r="I74" s="4">
        <v>18220</v>
      </c>
      <c r="K74" s="7">
        <v>1230</v>
      </c>
      <c r="L74" s="6">
        <v>2190</v>
      </c>
      <c r="M74" s="4">
        <v>1920</v>
      </c>
      <c r="O74" s="21">
        <v>270</v>
      </c>
      <c r="P74" s="15">
        <v>-1.4000000000000909</v>
      </c>
      <c r="Q74" s="17">
        <v>-8.5600000000000023</v>
      </c>
      <c r="R74">
        <v>-1.4</v>
      </c>
      <c r="S74">
        <v>-8.56</v>
      </c>
      <c r="T74" s="18">
        <v>-9.1038288019262836E-14</v>
      </c>
      <c r="U74" s="19">
        <v>0</v>
      </c>
    </row>
    <row r="75" spans="1:21" ht="15.75">
      <c r="A75" s="1" t="s">
        <v>91</v>
      </c>
      <c r="B75" s="4">
        <v>577.73</v>
      </c>
      <c r="E75" s="4">
        <v>149.82</v>
      </c>
      <c r="H75" s="6">
        <v>6810</v>
      </c>
      <c r="I75" s="4">
        <v>6230</v>
      </c>
      <c r="K75" s="7">
        <v>580</v>
      </c>
      <c r="L75" s="6">
        <v>8400</v>
      </c>
      <c r="M75" s="4">
        <v>8260</v>
      </c>
      <c r="O75" s="21">
        <v>140</v>
      </c>
      <c r="P75" s="15">
        <v>-2.2699999999999818</v>
      </c>
      <c r="Q75" s="17">
        <v>9.8199999999999932</v>
      </c>
      <c r="R75">
        <v>-2.27</v>
      </c>
      <c r="S75">
        <v>9.82</v>
      </c>
      <c r="T75" s="18">
        <v>1.8207657603852567E-14</v>
      </c>
      <c r="U75" s="19">
        <v>0</v>
      </c>
    </row>
    <row r="76" spans="1:21" ht="15.75">
      <c r="A76" s="1" t="s">
        <v>92</v>
      </c>
      <c r="B76" s="4">
        <v>299.92</v>
      </c>
      <c r="E76" s="4">
        <v>220.17</v>
      </c>
      <c r="H76" s="6">
        <v>4960</v>
      </c>
      <c r="I76" s="4">
        <v>4650</v>
      </c>
      <c r="K76" s="7">
        <v>310</v>
      </c>
      <c r="L76" s="6">
        <v>2460</v>
      </c>
      <c r="M76" s="4">
        <v>2240</v>
      </c>
      <c r="O76" s="21">
        <v>220</v>
      </c>
      <c r="P76" s="15">
        <v>-10.079999999999984</v>
      </c>
      <c r="Q76" s="17">
        <v>0.16999999999998749</v>
      </c>
      <c r="R76">
        <v>-10.08</v>
      </c>
      <c r="S76">
        <v>0.17</v>
      </c>
      <c r="T76" s="18">
        <v>1.5987211554602254E-14</v>
      </c>
      <c r="U76" s="19">
        <v>-1.251776460264864E-14</v>
      </c>
    </row>
    <row r="77" spans="1:21" ht="15.75">
      <c r="A77" s="1" t="s">
        <v>93</v>
      </c>
      <c r="B77" s="4">
        <v>271.2</v>
      </c>
      <c r="E77" s="4">
        <v>16.96</v>
      </c>
      <c r="H77" s="6">
        <v>2570</v>
      </c>
      <c r="I77" s="4">
        <v>2270</v>
      </c>
      <c r="K77" s="7">
        <v>300</v>
      </c>
      <c r="L77" s="6">
        <v>2410</v>
      </c>
      <c r="M77" s="4">
        <v>2390</v>
      </c>
      <c r="O77" s="21">
        <v>20</v>
      </c>
      <c r="P77" s="15">
        <v>-28.800000000000011</v>
      </c>
      <c r="Q77" s="17">
        <v>-3.0399999999999991</v>
      </c>
      <c r="R77">
        <v>-28.8</v>
      </c>
      <c r="S77">
        <v>-3.04</v>
      </c>
      <c r="T77" s="18">
        <v>0</v>
      </c>
      <c r="U77" s="19">
        <v>0</v>
      </c>
    </row>
    <row r="78" spans="1:21" ht="15.75">
      <c r="A78" s="1" t="s">
        <v>94</v>
      </c>
      <c r="B78" s="4">
        <v>310.52</v>
      </c>
      <c r="E78" s="4">
        <v>267.82</v>
      </c>
      <c r="H78" s="6">
        <v>3370</v>
      </c>
      <c r="I78" s="4">
        <v>3060</v>
      </c>
      <c r="K78" s="7">
        <v>310</v>
      </c>
      <c r="L78" s="6">
        <v>2390</v>
      </c>
      <c r="M78" s="4">
        <v>2120</v>
      </c>
      <c r="O78" s="21">
        <v>270</v>
      </c>
      <c r="P78" s="15">
        <v>0.51999999999998181</v>
      </c>
      <c r="Q78" s="17">
        <v>-2.1800000000000068</v>
      </c>
      <c r="R78">
        <v>0.52</v>
      </c>
      <c r="S78">
        <v>-2.1</v>
      </c>
      <c r="T78" s="18">
        <v>-1.8207657603852567E-14</v>
      </c>
      <c r="U78" s="19">
        <v>-8.0000000000006732E-2</v>
      </c>
    </row>
    <row r="79" spans="1:21" ht="15.75">
      <c r="A79" s="1" t="s">
        <v>95</v>
      </c>
      <c r="B79" s="4">
        <v>428.64</v>
      </c>
      <c r="E79" s="4">
        <v>1420.29</v>
      </c>
      <c r="H79" s="6">
        <v>23750</v>
      </c>
      <c r="I79" s="4">
        <v>23350</v>
      </c>
      <c r="K79" s="7">
        <v>400</v>
      </c>
      <c r="L79" s="6">
        <v>24120</v>
      </c>
      <c r="M79" s="4">
        <v>22680</v>
      </c>
      <c r="O79" s="21">
        <v>1440</v>
      </c>
      <c r="P79" s="15">
        <v>28.639999999999986</v>
      </c>
      <c r="Q79" s="17">
        <v>-19.710000000000036</v>
      </c>
      <c r="R79">
        <v>28.84</v>
      </c>
      <c r="S79">
        <v>-19.71</v>
      </c>
      <c r="T79" s="18">
        <v>-0.2000000000000135</v>
      </c>
      <c r="U79" s="19">
        <v>-3.5527136788005009E-14</v>
      </c>
    </row>
    <row r="80" spans="1:21" ht="15.75">
      <c r="A80" s="1" t="s">
        <v>96</v>
      </c>
      <c r="B80" s="4">
        <v>512.38</v>
      </c>
      <c r="E80" s="4">
        <v>373.83</v>
      </c>
      <c r="H80" s="6">
        <v>15180</v>
      </c>
      <c r="I80" s="4">
        <v>14640</v>
      </c>
      <c r="K80" s="7">
        <v>540</v>
      </c>
      <c r="L80" s="6">
        <v>6000</v>
      </c>
      <c r="M80" s="4">
        <v>5580</v>
      </c>
      <c r="O80" s="21">
        <v>420</v>
      </c>
      <c r="P80" s="15">
        <v>-27.620000000000005</v>
      </c>
      <c r="Q80" s="17">
        <v>-46.170000000000016</v>
      </c>
      <c r="R80">
        <v>-24.62</v>
      </c>
      <c r="S80">
        <v>-46.17</v>
      </c>
      <c r="T80" s="18">
        <v>-3.0000000000000036</v>
      </c>
      <c r="U80" s="19">
        <v>0</v>
      </c>
    </row>
    <row r="81" spans="1:21" ht="15.75">
      <c r="A81" s="1" t="s">
        <v>97</v>
      </c>
      <c r="B81" s="4">
        <v>664.22</v>
      </c>
      <c r="E81" s="4">
        <v>167.7</v>
      </c>
      <c r="H81" s="6">
        <v>3040</v>
      </c>
      <c r="I81" s="4">
        <v>2350</v>
      </c>
      <c r="K81" s="7">
        <v>690</v>
      </c>
      <c r="L81" s="6">
        <v>2680</v>
      </c>
      <c r="M81" s="4">
        <v>2540</v>
      </c>
      <c r="O81" s="21">
        <v>140</v>
      </c>
      <c r="P81" s="15">
        <v>-25.779999999999973</v>
      </c>
      <c r="Q81" s="17">
        <v>27.699999999999989</v>
      </c>
      <c r="R81">
        <v>-25.78</v>
      </c>
      <c r="S81">
        <v>27.7</v>
      </c>
      <c r="T81" s="18">
        <v>2.8421709430404007E-14</v>
      </c>
      <c r="U81" s="19">
        <v>0</v>
      </c>
    </row>
    <row r="82" spans="1:21" ht="15.75">
      <c r="A82" s="1" t="s">
        <v>98</v>
      </c>
      <c r="B82" s="4">
        <v>215.67</v>
      </c>
      <c r="E82" s="4">
        <v>66.59</v>
      </c>
      <c r="H82" s="6">
        <v>4680</v>
      </c>
      <c r="I82" s="4">
        <v>4450</v>
      </c>
      <c r="K82" s="7">
        <v>230</v>
      </c>
      <c r="L82" s="6">
        <v>1320</v>
      </c>
      <c r="M82" s="4">
        <v>1250</v>
      </c>
      <c r="O82" s="21">
        <v>70</v>
      </c>
      <c r="P82" s="15">
        <v>-14.330000000000013</v>
      </c>
      <c r="Q82" s="17">
        <v>-3.4099999999999966</v>
      </c>
      <c r="R82">
        <v>-14.33</v>
      </c>
      <c r="S82">
        <v>-3.41</v>
      </c>
      <c r="T82" s="18">
        <v>0</v>
      </c>
      <c r="U82" s="19">
        <v>3.5527136788005009E-15</v>
      </c>
    </row>
    <row r="83" spans="1:21" ht="15.75">
      <c r="A83" s="1" t="s">
        <v>99</v>
      </c>
      <c r="B83" s="4">
        <v>796.3</v>
      </c>
      <c r="E83" s="4">
        <v>250.33</v>
      </c>
      <c r="H83" s="6">
        <v>15630</v>
      </c>
      <c r="I83" s="4">
        <v>14800</v>
      </c>
      <c r="K83" s="7">
        <v>830</v>
      </c>
      <c r="L83" s="6">
        <v>2970</v>
      </c>
      <c r="M83" s="4">
        <v>2700</v>
      </c>
      <c r="O83" s="21">
        <v>270</v>
      </c>
      <c r="P83" s="15">
        <v>-33.700000000000045</v>
      </c>
      <c r="Q83" s="17">
        <v>-19.669999999999987</v>
      </c>
      <c r="R83">
        <v>-39.97</v>
      </c>
      <c r="S83">
        <v>-19.670000000000002</v>
      </c>
      <c r="T83" s="18">
        <v>6.2699999999999534</v>
      </c>
      <c r="U83" s="19">
        <v>0</v>
      </c>
    </row>
    <row r="84" spans="1:21" ht="15.75">
      <c r="A84" s="22" t="s">
        <v>100</v>
      </c>
      <c r="B84" s="4">
        <v>1300.42</v>
      </c>
      <c r="E84" s="4">
        <v>233.45</v>
      </c>
      <c r="H84" s="6">
        <v>22600</v>
      </c>
      <c r="I84" s="4">
        <v>21320</v>
      </c>
      <c r="K84" s="7">
        <v>1280</v>
      </c>
      <c r="L84" s="6">
        <v>6150</v>
      </c>
      <c r="M84" s="4">
        <v>5910</v>
      </c>
      <c r="O84" s="21">
        <v>240</v>
      </c>
      <c r="P84" s="15">
        <v>20.420000000000073</v>
      </c>
      <c r="Q84" s="17">
        <v>-6.5500000000000114</v>
      </c>
      <c r="R84">
        <v>20.420000000000002</v>
      </c>
      <c r="S84">
        <v>-6.55</v>
      </c>
      <c r="T84" s="18">
        <v>7.1054273576010019E-14</v>
      </c>
      <c r="U84" s="19">
        <v>-1.1546319456101628E-14</v>
      </c>
    </row>
    <row r="85" spans="1:21" ht="15.75">
      <c r="A85" s="1" t="s">
        <v>101</v>
      </c>
      <c r="B85" s="4">
        <v>89.93</v>
      </c>
      <c r="E85" s="4">
        <v>106.01</v>
      </c>
      <c r="H85" s="6">
        <v>3720</v>
      </c>
      <c r="I85" s="4">
        <v>3620</v>
      </c>
      <c r="K85" s="7">
        <v>100</v>
      </c>
      <c r="L85" s="6">
        <v>4700</v>
      </c>
      <c r="M85" s="4">
        <v>4600</v>
      </c>
      <c r="O85" s="21">
        <v>100</v>
      </c>
      <c r="P85" s="15">
        <v>-10.069999999999993</v>
      </c>
      <c r="Q85" s="17">
        <v>6.0100000000000051</v>
      </c>
      <c r="R85">
        <v>-10.07</v>
      </c>
      <c r="S85">
        <v>6.01</v>
      </c>
      <c r="T85" s="18">
        <v>0</v>
      </c>
      <c r="U85" s="19">
        <v>0</v>
      </c>
    </row>
    <row r="86" spans="1:21" ht="15.75">
      <c r="A86" s="1" t="s">
        <v>102</v>
      </c>
      <c r="B86" s="4">
        <v>7585.94</v>
      </c>
      <c r="E86" s="4">
        <v>1429.67</v>
      </c>
      <c r="H86" s="6">
        <v>34000</v>
      </c>
      <c r="I86" s="4">
        <v>26300</v>
      </c>
      <c r="K86" s="7">
        <v>7700</v>
      </c>
      <c r="L86" s="6">
        <v>62800</v>
      </c>
      <c r="M86" s="4">
        <v>61400</v>
      </c>
      <c r="O86" s="21">
        <v>1400</v>
      </c>
      <c r="P86" s="15">
        <v>-114.0600000000004</v>
      </c>
      <c r="Q86" s="17">
        <v>29.670000000000073</v>
      </c>
      <c r="R86">
        <v>-114.06</v>
      </c>
      <c r="S86">
        <v>29.67</v>
      </c>
      <c r="T86" s="18">
        <v>-3.979039320256561E-13</v>
      </c>
      <c r="U86" s="19">
        <v>7.1054273576010019E-14</v>
      </c>
    </row>
    <row r="87" spans="1:21" ht="15.75">
      <c r="A87" s="1" t="s">
        <v>103</v>
      </c>
      <c r="B87" s="4">
        <v>549</v>
      </c>
      <c r="E87" s="4">
        <v>154.03</v>
      </c>
      <c r="H87" s="6">
        <v>12920</v>
      </c>
      <c r="I87" s="4">
        <v>12400</v>
      </c>
      <c r="K87" s="7">
        <v>520</v>
      </c>
      <c r="L87" s="6">
        <v>5750</v>
      </c>
      <c r="M87" s="4">
        <v>5600</v>
      </c>
      <c r="O87" s="21">
        <v>150</v>
      </c>
      <c r="P87" s="15">
        <v>29</v>
      </c>
      <c r="Q87" s="17">
        <v>4.0300000000000011</v>
      </c>
      <c r="R87">
        <v>29</v>
      </c>
      <c r="S87">
        <v>4.03</v>
      </c>
      <c r="T87" s="18">
        <v>0</v>
      </c>
      <c r="U87" s="19">
        <v>0</v>
      </c>
    </row>
    <row r="88" spans="1:21" ht="15.75">
      <c r="A88" s="1" t="s">
        <v>104</v>
      </c>
      <c r="B88" s="4">
        <v>26.02</v>
      </c>
      <c r="E88" s="4">
        <v>41.62</v>
      </c>
      <c r="H88" s="6">
        <v>9920</v>
      </c>
      <c r="I88" s="4">
        <v>9900</v>
      </c>
      <c r="K88" s="7">
        <v>20</v>
      </c>
      <c r="L88" s="6">
        <v>6960</v>
      </c>
      <c r="M88" s="4">
        <v>6900</v>
      </c>
      <c r="O88" s="21">
        <v>60</v>
      </c>
      <c r="P88" s="15">
        <v>6.02</v>
      </c>
      <c r="Q88" s="17">
        <v>-18.380000000000003</v>
      </c>
      <c r="R88">
        <v>6.02</v>
      </c>
      <c r="S88">
        <v>-18.38</v>
      </c>
      <c r="T88" s="18">
        <v>0</v>
      </c>
      <c r="U88" s="19">
        <v>0</v>
      </c>
    </row>
    <row r="89" spans="1:21" ht="15.75">
      <c r="A89" s="1" t="s">
        <v>105</v>
      </c>
      <c r="B89" s="4">
        <v>0</v>
      </c>
      <c r="E89" s="4">
        <v>246.58</v>
      </c>
      <c r="F89">
        <v>228.91</v>
      </c>
      <c r="H89" s="6">
        <v>800</v>
      </c>
      <c r="I89" s="4">
        <v>800</v>
      </c>
      <c r="K89" s="7">
        <v>0</v>
      </c>
      <c r="L89" s="6">
        <v>5970</v>
      </c>
      <c r="M89" s="4">
        <v>5960</v>
      </c>
      <c r="O89" s="21">
        <v>10</v>
      </c>
      <c r="P89" s="15">
        <v>0</v>
      </c>
      <c r="Q89" s="17">
        <v>7.6700000000000159</v>
      </c>
      <c r="R89">
        <v>0</v>
      </c>
      <c r="S89">
        <v>7.67</v>
      </c>
      <c r="T89" s="18">
        <v>0</v>
      </c>
      <c r="U89" s="19">
        <v>1.5987211554602254E-14</v>
      </c>
    </row>
    <row r="90" spans="1:21" ht="15.75">
      <c r="A90" s="1" t="s">
        <v>106</v>
      </c>
      <c r="B90" s="4">
        <v>1203.42</v>
      </c>
      <c r="E90" s="4">
        <v>515.77</v>
      </c>
      <c r="H90" s="6">
        <v>11470</v>
      </c>
      <c r="I90" s="4">
        <v>10240</v>
      </c>
      <c r="K90" s="7">
        <v>1230</v>
      </c>
      <c r="L90" s="6">
        <v>17500</v>
      </c>
      <c r="M90" s="4">
        <v>17000</v>
      </c>
      <c r="O90" s="21">
        <v>500</v>
      </c>
      <c r="P90" s="15">
        <v>-26.579999999999927</v>
      </c>
      <c r="Q90" s="17">
        <v>15.769999999999982</v>
      </c>
      <c r="R90">
        <v>-26.58</v>
      </c>
      <c r="S90">
        <v>15.77</v>
      </c>
      <c r="T90" s="18">
        <v>7.1054273576010019E-14</v>
      </c>
      <c r="U90" s="19">
        <v>-1.7763568394002505E-14</v>
      </c>
    </row>
    <row r="91" spans="1:21" ht="15.75">
      <c r="A91" s="1" t="s">
        <v>107</v>
      </c>
      <c r="B91" s="4">
        <v>1227.82</v>
      </c>
      <c r="E91" s="4">
        <v>623.37</v>
      </c>
      <c r="H91" s="6">
        <v>38650</v>
      </c>
      <c r="I91" s="4">
        <v>37450</v>
      </c>
      <c r="K91" s="7">
        <v>1200</v>
      </c>
      <c r="L91" s="6">
        <v>12000</v>
      </c>
      <c r="M91" s="4">
        <v>11390</v>
      </c>
      <c r="O91" s="21">
        <v>610</v>
      </c>
      <c r="P91" s="15">
        <v>27.819999999999936</v>
      </c>
      <c r="Q91" s="17">
        <v>13.370000000000005</v>
      </c>
      <c r="R91">
        <v>27.82</v>
      </c>
      <c r="S91">
        <v>13.37</v>
      </c>
      <c r="T91" s="18">
        <v>-6.3948846218409017E-14</v>
      </c>
      <c r="U91" s="19">
        <v>0</v>
      </c>
    </row>
    <row r="92" spans="1:21" ht="15.75">
      <c r="A92" s="1" t="s">
        <v>108</v>
      </c>
      <c r="B92" s="4">
        <v>897.54</v>
      </c>
      <c r="E92" s="4">
        <v>551.64</v>
      </c>
      <c r="H92" s="6">
        <v>29340</v>
      </c>
      <c r="I92" s="4">
        <v>28440</v>
      </c>
      <c r="K92" s="7">
        <v>900</v>
      </c>
      <c r="L92" s="6">
        <v>12930</v>
      </c>
      <c r="M92" s="4">
        <v>12380</v>
      </c>
      <c r="O92" s="21">
        <v>550</v>
      </c>
      <c r="P92" s="15">
        <v>-2.4600000000000364</v>
      </c>
      <c r="Q92" s="17">
        <v>1.6399999999999864</v>
      </c>
      <c r="R92">
        <v>-2.46</v>
      </c>
      <c r="S92">
        <v>1.64</v>
      </c>
      <c r="T92" s="18">
        <v>-3.6415315207705135E-14</v>
      </c>
      <c r="U92" s="19">
        <v>-1.354472090042691E-14</v>
      </c>
    </row>
    <row r="93" spans="1:21" ht="15.75">
      <c r="A93" s="1" t="s">
        <v>109</v>
      </c>
      <c r="B93" s="4">
        <v>221.73</v>
      </c>
      <c r="E93" s="4">
        <v>250.48</v>
      </c>
      <c r="H93" s="6">
        <v>10640</v>
      </c>
      <c r="I93" s="4">
        <v>10420</v>
      </c>
      <c r="K93" s="7">
        <v>220</v>
      </c>
      <c r="L93" s="6">
        <v>5370</v>
      </c>
      <c r="M93" s="4">
        <v>5120</v>
      </c>
      <c r="O93" s="21">
        <v>250</v>
      </c>
      <c r="P93" s="15">
        <v>1.7299999999999898</v>
      </c>
      <c r="Q93" s="17">
        <v>0.47999999999998977</v>
      </c>
      <c r="R93">
        <v>1.73</v>
      </c>
      <c r="S93">
        <v>0.48</v>
      </c>
      <c r="T93" s="18">
        <v>-1.021405182655144E-14</v>
      </c>
      <c r="U93" s="19">
        <v>-1.021405182655144E-14</v>
      </c>
    </row>
    <row r="94" spans="1:21" ht="16.5" thickBot="1">
      <c r="A94" s="1" t="s">
        <v>110</v>
      </c>
      <c r="B94" s="4">
        <v>4643.45</v>
      </c>
      <c r="E94" s="4">
        <v>2214.4299999999998</v>
      </c>
      <c r="H94" s="6">
        <v>26040</v>
      </c>
      <c r="I94" s="4">
        <v>21100</v>
      </c>
      <c r="K94" s="7">
        <v>4940</v>
      </c>
      <c r="L94" s="6">
        <v>9380</v>
      </c>
      <c r="M94" s="4">
        <v>7170</v>
      </c>
      <c r="O94" s="21">
        <v>2210</v>
      </c>
      <c r="P94" s="15">
        <v>-296.55000000000018</v>
      </c>
      <c r="Q94" s="17">
        <v>4.4299999999998363</v>
      </c>
      <c r="R94">
        <v>-296.55</v>
      </c>
      <c r="S94">
        <v>4.43</v>
      </c>
      <c r="T94" s="18">
        <v>0</v>
      </c>
      <c r="U94" s="19">
        <v>-1.6342482922482304E-13</v>
      </c>
    </row>
    <row r="95" spans="1:21" ht="16.5" thickBot="1">
      <c r="A95" s="2" t="s">
        <v>45</v>
      </c>
      <c r="B95" s="20">
        <f>SUM(B3:B93)</f>
        <v>49636.028999999988</v>
      </c>
      <c r="C95" s="20">
        <f t="shared" ref="C95:U95" si="0">SUM(C3:C93)</f>
        <v>248.14000000000001</v>
      </c>
      <c r="D95" s="20">
        <f t="shared" si="0"/>
        <v>0</v>
      </c>
      <c r="E95" s="20">
        <f t="shared" si="0"/>
        <v>47117.286999999997</v>
      </c>
      <c r="F95" s="20">
        <f t="shared" si="0"/>
        <v>492.18999999999994</v>
      </c>
      <c r="G95" s="20">
        <f t="shared" si="0"/>
        <v>360</v>
      </c>
      <c r="H95" s="20">
        <f t="shared" si="0"/>
        <v>878200</v>
      </c>
      <c r="I95" s="20">
        <f t="shared" si="0"/>
        <v>828540</v>
      </c>
      <c r="J95" s="20">
        <f t="shared" si="0"/>
        <v>0</v>
      </c>
      <c r="K95" s="20">
        <f t="shared" si="0"/>
        <v>49660</v>
      </c>
      <c r="L95" s="20">
        <f t="shared" si="0"/>
        <v>694819</v>
      </c>
      <c r="M95" s="20">
        <f t="shared" si="0"/>
        <v>693340</v>
      </c>
      <c r="N95" s="20">
        <f t="shared" si="0"/>
        <v>45000</v>
      </c>
      <c r="O95" s="20">
        <f t="shared" si="0"/>
        <v>46479</v>
      </c>
      <c r="P95" s="20">
        <f t="shared" si="0"/>
        <v>-272.11100000000033</v>
      </c>
      <c r="Q95" s="20">
        <f t="shared" si="0"/>
        <v>-213.90299999999945</v>
      </c>
      <c r="R95" s="20">
        <f t="shared" si="0"/>
        <v>-275.08999999999997</v>
      </c>
      <c r="S95" s="20">
        <f t="shared" si="0"/>
        <v>-51.896000000000001</v>
      </c>
      <c r="T95" s="20">
        <f t="shared" si="0"/>
        <v>2.9789999999996586</v>
      </c>
      <c r="U95" s="20">
        <f t="shared" si="0"/>
        <v>-162.00699999999927</v>
      </c>
    </row>
    <row r="96" spans="1:21">
      <c r="B96" s="5">
        <f>SUM(B3:B93)-B95</f>
        <v>0</v>
      </c>
      <c r="C96" s="5">
        <f t="shared" ref="C96:U96" si="1">SUM(C3:C93)-C95</f>
        <v>0</v>
      </c>
      <c r="D96" s="5">
        <f t="shared" si="1"/>
        <v>0</v>
      </c>
      <c r="E96" s="5">
        <f t="shared" si="1"/>
        <v>0</v>
      </c>
      <c r="F96" s="5">
        <f t="shared" si="1"/>
        <v>0</v>
      </c>
      <c r="G96" s="5">
        <f t="shared" si="1"/>
        <v>0</v>
      </c>
      <c r="H96" s="5">
        <f t="shared" si="1"/>
        <v>0</v>
      </c>
      <c r="I96" s="5">
        <f t="shared" si="1"/>
        <v>0</v>
      </c>
      <c r="J96" s="5">
        <f t="shared" si="1"/>
        <v>0</v>
      </c>
      <c r="K96" s="5">
        <f t="shared" si="1"/>
        <v>0</v>
      </c>
      <c r="L96" s="5">
        <f t="shared" si="1"/>
        <v>0</v>
      </c>
      <c r="M96" s="5">
        <f t="shared" si="1"/>
        <v>0</v>
      </c>
      <c r="N96" s="5">
        <f t="shared" si="1"/>
        <v>0</v>
      </c>
      <c r="O96" s="5">
        <f t="shared" si="1"/>
        <v>0</v>
      </c>
      <c r="P96" s="5">
        <f t="shared" si="1"/>
        <v>0</v>
      </c>
      <c r="Q96" s="5">
        <f t="shared" si="1"/>
        <v>0</v>
      </c>
      <c r="R96" s="5">
        <f t="shared" si="1"/>
        <v>0</v>
      </c>
      <c r="S96" s="5">
        <f t="shared" si="1"/>
        <v>0</v>
      </c>
      <c r="T96" s="5">
        <f t="shared" si="1"/>
        <v>0</v>
      </c>
      <c r="U96" s="5">
        <f t="shared" si="1"/>
        <v>0</v>
      </c>
    </row>
  </sheetData>
  <mergeCells count="1">
    <mergeCell ref="A1:U1"/>
  </mergeCells>
  <pageMargins left="0.7" right="0.7" top="0.75" bottom="0.75" header="0.3" footer="0.3"/>
  <pageSetup scale="33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  <rangeList sheetStid="4" master="" otherUserPermission="visible"/>
  <rangeList sheetStid="5" master="" otherUserPermission="visible"/>
  <rangeList sheetStid="6" master="" otherUserPermission="visible"/>
  <rangeList sheetStid="7" master="" otherUserPermission="visible"/>
  <rangeList sheetStid="8" master="" otherUserPermission="visible">
    <arrUserId title="Range1_1" rangeCreator="" othersAccessPermission="edit"/>
    <arrUserId title="Range1_3" rangeCreator="" othersAccessPermission="edit"/>
    <arrUserId title="Range1_5" rangeCreator="" othersAccessPermission="edit"/>
    <arrUserId title="Range1_7" rangeCreator="" othersAccessPermission="edit"/>
    <arrUserId title="Range1_9" rangeCreator="" othersAccessPermission="edit"/>
    <arrUserId title="Range1_11" rangeCreator="" othersAccessPermission="edit"/>
    <arrUserId title="Range1_12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var</vt:lpstr>
      <vt:lpstr>'daily var'!Print_Area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kofi afful</dc:creator>
  <cp:lastModifiedBy>thinkpad</cp:lastModifiedBy>
  <cp:lastPrinted>2025-07-25T10:01:43Z</cp:lastPrinted>
  <dcterms:created xsi:type="dcterms:W3CDTF">2024-11-20T15:31:00Z</dcterms:created>
  <dcterms:modified xsi:type="dcterms:W3CDTF">2026-06-10T11:49:06Z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0AA7994E3F8143FC9B99A14F6BC27BE3_12</vt:lpwstr>
  </property>
  <property fmtid="{D5CDD505-2E9C-101B-9397-08002B2CF9AE}" pid="3" name="KSOProductBuildVer">
    <vt:lpwstr>1033-12.2.0.21179</vt:lpwstr>
  </property>
</Properties>
</file>